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11370f68104f9d" /></Relationships>
</file>

<file path=xl/workbook.xml><?xml version="1.0" encoding="utf-8"?>
<x:workbook xmlns:x="http://schemas.openxmlformats.org/spreadsheetml/2006/main">
  <x:sheets>
    <x:sheet xmlns:r="http://schemas.openxmlformats.org/officeDocument/2006/relationships" name="Master Schedule" sheetId="1" r:id="R0c066f1df593456f"/>
    <x:sheet xmlns:r="http://schemas.openxmlformats.org/officeDocument/2006/relationships" name="Weekly Calendar" sheetId="2" r:id="R5b67c4ae08ff4b7a"/>
    <x:sheet xmlns:r="http://schemas.openxmlformats.org/officeDocument/2006/relationships" name="Day-by-Day Calendar" sheetId="3" r:id="Rf22cdefe704a4c16"/>
    <x:sheet xmlns:r="http://schemas.openxmlformats.org/officeDocument/2006/relationships" name="Student Calendar" sheetId="4" r:id="Rd61ac2ff89cf4498"/>
    <x:sheet xmlns:r="http://schemas.openxmlformats.org/officeDocument/2006/relationships" name="Learning Objectives" sheetId="5" r:id="Rf75d2cd753f54b74"/>
    <x:sheet xmlns:r="http://schemas.openxmlformats.org/officeDocument/2006/relationships" name="Setup + Instructions" sheetId="6" r:id="R658c32b1ba6c437d"/>
    <x:sheet xmlns:r="http://schemas.openxmlformats.org/officeDocument/2006/relationships" name="Apps Script" sheetId="7" r:id="R0f794a1e69c444fa"/>
    <x:sheet xmlns:r="http://schemas.openxmlformats.org/officeDocument/2006/relationships" name="Molecular Exploration Notebook" sheetId="8" r:id="R7d7f4aed2757457f"/>
    <x:sheet xmlns:r="http://schemas.openxmlformats.org/officeDocument/2006/relationships" name="Canvas / Qualtrics Build Plan" sheetId="9" r:id="R14c4d1e9a7e048b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200" formatCode="0.00"/>
  </x:numFmts>
  <x:fonts count="9">
    <x:font>
      <x:sz val="11"/>
      <x:name val="Carlito"/>
    </x:font>
    <x:font>
      <x:b/>
      <x:sz val="11"/>
      <x:color rgb="FFFFFFFF"/>
      <x:name val="Carlito"/>
    </x:font>
    <x:font>
      <x:b/>
      <x:sz val="14"/>
      <x:color rgb="FFFFFFFF"/>
      <x:name val="Carlito"/>
    </x:font>
    <x:font>
      <x:b/>
      <x:sz val="16"/>
    </x:font>
    <x:font>
      <x:b/>
    </x:font>
    <x:font>
      <x:i/>
      <x:sz val="11"/>
      <x:color rgb="FF475569"/>
      <x:name val="Carlito"/>
    </x:font>
    <x:font>
      <x:b/>
      <x:sz val="11"/>
      <x:color rgb="FF1F2937"/>
      <x:name val="Carlito"/>
    </x:font>
    <x:font>
      <x:sz val="11"/>
      <x:color rgb="FF475569"/>
      <x:name val="Carlito"/>
    </x:font>
    <x:font>
      <x:b/>
      <x:sz val="11"/>
      <x:color rgb="FF7C4A03"/>
      <x:name val="Carlito"/>
    </x:font>
  </x:fonts>
  <x:fills count="11">
    <x:fill>
      <x:patternFill patternType="none"/>
    </x:fill>
    <x:fill>
      <x:patternFill patternType="gray125"/>
    </x:fill>
    <x:fill>
      <x:patternFill patternType="solid">
        <x:fgColor rgb="FF0F766E"/>
      </x:patternFill>
    </x:fill>
    <x:fill>
      <x:patternFill patternType="solid">
        <x:fgColor rgb="FFD9EAD3"/>
      </x:patternFill>
    </x:fill>
    <x:fill>
      <x:patternFill patternType="solid">
        <x:fgColor rgb="FF1F4E79"/>
      </x:patternFill>
    </x:fill>
    <x:fill>
      <x:patternFill patternType="solid">
        <x:fgColor rgb="FFF8FAFC"/>
      </x:patternFill>
    </x:fill>
    <x:fill>
      <x:patternFill patternType="solid">
        <x:fgColor rgb="FFD9EAF7"/>
      </x:patternFill>
    </x:fill>
    <x:fill>
      <x:patternFill patternType="solid">
        <x:fgColor rgb="FF305496"/>
      </x:patternFill>
    </x:fill>
    <x:fill>
      <x:patternFill patternType="solid">
        <x:fgColor rgb="FF5B9BD5"/>
      </x:patternFill>
    </x:fill>
    <x:fill>
      <x:patternFill patternType="solid">
        <x:fgColor rgb="FFEAF2F8"/>
      </x:patternFill>
    </x:fill>
    <x:fill>
      <x:patternFill patternType="solid">
        <x:fgColor rgb="FFFFF2CC"/>
      </x:patternFill>
    </x:fill>
  </x:fills>
  <x:borders count="7">
    <x:border/>
    <x:border/>
    <x:border>
      <x:left style="thin">
        <x:color rgb="FFB7C9D9"/>
      </x:left>
      <x:right style="thin">
        <x:color rgb="FFB7C9D9"/>
      </x:right>
      <x:top style="thin">
        <x:color rgb="FFB7C9D9"/>
      </x:top>
      <x:bottom style="thin">
        <x:color rgb="FFB7C9D9"/>
      </x:bottom>
    </x:border>
    <x:border>
      <x:left style="thin">
        <x:color rgb="FFE5E7EB"/>
      </x:left>
      <x:right style="thin">
        <x:color rgb="FFE5E7EB"/>
      </x:right>
      <x:top style="thin">
        <x:color rgb="FFE5E7EB"/>
      </x:top>
      <x:bottom style="thin">
        <x:color rgb="FFE5E7EB"/>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1"/>
  </x:cellStyleXfs>
  <x:cellXfs count="80">
    <x:xf numFmtId="0" fontId="0" fillId="0" borderId="0" xfId="0"/>
    <x:xf numFmtId="0" fontId="0" fillId="0" borderId="0" xfId="0"/>
    <x:xf numFmtId="0" fontId="0" fillId="0" borderId="1"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0" xfId="0" applyAlignment="1">
      <x:alignment wrapText="1"/>
    </x:xf>
    <x:xf numFmtId="0" fontId="0" fillId="0" borderId="1" xfId="0" applyAlignment="1">
      <x:alignment wrapText="1"/>
    </x:xf>
    <x:xf numFmtId="0" fontId="0" fillId="0" borderId="1" xfId="0" applyAlignment="1">
      <x:alignment wrapText="1"/>
    </x:xf>
    <x:xf numFmtId="164" fontId="1" fillId="2" borderId="0" xfId="0" applyAlignment="1">
      <x:alignment horizontal="center" vertical="center" wrapText="1"/>
    </x:xf>
    <x:xf numFmtId="164" fontId="1" fillId="2" borderId="1" xfId="0" applyAlignment="1">
      <x:alignment horizontal="center" vertical="center" wrapText="1"/>
    </x:xf>
    <x:xf numFmtId="0" fontId="2" fillId="2" borderId="0" xfId="0"/>
    <x:xf numFmtId="0" fontId="2" fillId="2" borderId="0" xfId="0" applyAlignment="1">
      <x:alignment wrapText="1"/>
    </x:xf>
    <x:xf numFmtId="0" fontId="2" fillId="2" borderId="0" xfId="0" applyAlignment="1">
      <x:alignment horizontal="center" wrapText="1"/>
    </x:xf>
    <x:xf numFmtId="0" fontId="2" fillId="2" borderId="0" xfId="0" applyAlignment="1">
      <x:alignment horizontal="center" vertical="center" wrapText="1"/>
    </x:xf>
    <x:xf numFmtId="0" fontId="2" fillId="2" borderId="1" xfId="0"/>
    <x:xf numFmtId="0" fontId="2" fillId="2" borderId="1" xfId="0" applyAlignment="1">
      <x:alignment wrapText="1"/>
    </x:xf>
    <x:xf numFmtId="0" fontId="2" fillId="2" borderId="1" xfId="0" applyAlignment="1">
      <x:alignment horizontal="center" wrapText="1"/>
    </x:xf>
    <x:xf numFmtId="0" fontId="2" fillId="2" borderId="1" xfId="0" applyAlignment="1">
      <x:alignment horizontal="center" vertical="center" wrapText="1"/>
    </x:xf>
    <x:xf numFmtId="164" fontId="2" fillId="2" borderId="0" xfId="0" applyAlignment="1">
      <x:alignment horizontal="center" vertical="center" wrapText="1"/>
    </x:xf>
    <x:xf numFmtId="164" fontId="2" fillId="2" borderId="1" xfId="0" applyAlignment="1">
      <x:alignment horizontal="center" vertical="center" wrapText="1"/>
    </x:xf>
    <x:xf numFmtId="164" fontId="1" fillId="2" borderId="0" xfId="0" applyAlignment="1">
      <x:alignment horizontal="center" vertical="center" wrapText="1"/>
    </x:xf>
    <x:xf numFmtId="164" fontId="2" fillId="2" borderId="1" xfId="0" applyAlignment="1">
      <x:alignment horizontal="center" vertical="center" wrapText="1"/>
    </x:xf>
    <x:xf numFmtId="0" fontId="3" fillId="0" borderId="0" xfId="0"/>
    <x:xf numFmtId="0" fontId="4" fillId="0" borderId="0" xfId="0"/>
    <x:xf numFmtId="0" fontId="4" fillId="3" borderId="0" xfId="0"/>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left" wrapText="1"/>
    </x:xf>
    <x:xf numFmtId="0" fontId="2" fillId="4" borderId="0" xfId="0" applyNumberFormat="1" applyFont="1" applyFill="1" applyBorder="1" applyAlignment="1">
      <x:alignment horizontal="lef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horizontal="center" wrapText="1"/>
    </x:xf>
    <x:xf numFmtId="0" fontId="6" fillId="6" borderId="2" xfId="0" applyNumberFormat="1" applyFont="1" applyFill="1" applyBorder="1" applyAlignment="1">
      <x:alignment horizontal="center" vertical="center" wrapText="1"/>
    </x:xf>
    <x:xf numFmtId="0" fontId="0" fillId="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left" wrapText="1"/>
    </x:xf>
    <x:xf numFmtId="0" fontId="2" fillId="7" borderId="0" xfId="0" applyNumberFormat="1" applyFont="1" applyFill="1" applyBorder="1" applyAlignment="1">
      <x:alignment horizontal="left" vertical="center" wrapText="1"/>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left" wrapText="1"/>
    </x:xf>
    <x:xf numFmtId="0" fontId="2" fillId="8" borderId="0" xfId="0" applyNumberFormat="1" applyFont="1" applyFill="1" applyBorder="1" applyAlignment="1">
      <x:alignment horizontal="left" vertical="center" wrapText="1"/>
    </x:xf>
    <x:xf numFmtId="0" fontId="0" fillId="9" borderId="3" xfId="0" applyNumberFormat="1" applyFont="1" applyFill="1" applyBorder="1" applyAlignment="1">
      <x:alignment vertical="top" wrapText="1"/>
    </x:xf>
    <x:xf numFmtId="0" fontId="6" fillId="9" borderId="3"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4" xfId="0" applyNumberFormat="1" applyFont="1" applyFill="1" applyBorder="1"/>
    <x:xf numFmtId="0" fontId="8" fillId="10" borderId="5" xfId="0" applyNumberFormat="1" applyFont="1" applyFill="1" applyBorder="1"/>
    <x:xf numFmtId="0" fontId="8" fillId="10" borderId="6" xfId="0" applyNumberFormat="1" applyFont="1" applyFill="1" applyBorder="1"/>
    <x:xf numFmtId="0" fontId="8" fillId="10" borderId="4" xfId="0" applyNumberFormat="1" applyFont="1" applyFill="1" applyBorder="1" applyAlignment="1">
      <x:alignment wrapText="1"/>
    </x:xf>
    <x:xf numFmtId="0" fontId="8" fillId="10" borderId="5" xfId="0" applyNumberFormat="1" applyFont="1" applyFill="1" applyBorder="1" applyAlignment="1">
      <x:alignment wrapText="1"/>
    </x:xf>
    <x:xf numFmtId="0" fontId="8" fillId="10" borderId="6" xfId="0" applyNumberFormat="1" applyFont="1" applyFill="1" applyBorder="1" applyAlignment="1">
      <x:alignment wrapText="1"/>
    </x:xf>
    <x:xf numFmtId="0" fontId="8" fillId="10" borderId="4" xfId="0" applyNumberFormat="1" applyFont="1" applyFill="1" applyBorder="1" applyAlignment="1">
      <x:alignment vertical="center" wrapText="1"/>
    </x:xf>
    <x:xf numFmtId="0" fontId="8" fillId="10" borderId="5" xfId="0" applyNumberFormat="1" applyFont="1" applyFill="1" applyBorder="1" applyAlignment="1">
      <x:alignment vertical="center" wrapText="1"/>
    </x:xf>
    <x:xf numFmtId="0" fontId="8" fillId="10" borderId="6"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1c31398ca1c44ec" /><Relationship Type="http://schemas.openxmlformats.org/officeDocument/2006/relationships/theme" Target="/xl/theme/theme1.xml" Id="R41dc4a6a292e46df" /><Relationship Type="http://schemas.openxmlformats.org/officeDocument/2006/relationships/sharedStrings" Target="/xl/sharedStrings.xml" Id="R45718e13fb08434a" /><Relationship Type="http://schemas.openxmlformats.org/officeDocument/2006/relationships/worksheet" Target="/xl/worksheets/sheet1.xml" Id="R0c066f1df593456f" /><Relationship Type="http://schemas.openxmlformats.org/officeDocument/2006/relationships/worksheet" Target="/xl/worksheets/sheet2.xml" Id="R5b67c4ae08ff4b7a" /><Relationship Type="http://schemas.openxmlformats.org/officeDocument/2006/relationships/worksheet" Target="/xl/worksheets/sheet3.xml" Id="Rf22cdefe704a4c16" /><Relationship Type="http://schemas.openxmlformats.org/officeDocument/2006/relationships/worksheet" Target="/xl/worksheets/sheet4.xml" Id="Rd61ac2ff89cf4498" /><Relationship Type="http://schemas.openxmlformats.org/officeDocument/2006/relationships/worksheet" Target="/xl/worksheets/sheet5.xml" Id="Rf75d2cd753f54b74" /><Relationship Type="http://schemas.openxmlformats.org/officeDocument/2006/relationships/worksheet" Target="/xl/worksheets/sheet6.xml" Id="R658c32b1ba6c437d" /><Relationship Type="http://schemas.openxmlformats.org/officeDocument/2006/relationships/worksheet" Target="/xl/worksheets/sheet7.xml" Id="R0f794a1e69c444fa" /><Relationship Type="http://schemas.openxmlformats.org/officeDocument/2006/relationships/worksheet" Target="/xl/worksheets/sheet8.xml" Id="R7d7f4aed2757457f" /><Relationship Type="http://schemas.openxmlformats.org/officeDocument/2006/relationships/worksheet" Target="/xl/worksheets/sheet9.xml" Id="R14c4d1e9a7e048bc" /></Relationships>
</file>

<file path=xl/tables/table1.xml><?xml version="1.0" encoding="utf-8"?>
<x:table xmlns:x="http://schemas.openxmlformats.org/spreadsheetml/2006/main" id="1" name="MasterScheduleTable" displayName="MasterScheduleTable" ref="A1:O34" headerRowCount="1">
  <x:tableColumns count="15">
    <x:tableColumn id="1" name="Date"/>
    <x:tableColumn id="2" name="Week"/>
    <x:tableColumn id="3" name="Day"/>
    <x:tableColumn id="4" name="Meeting Type"/>
    <x:tableColumn id="5" name="Chapter(s)"/>
    <x:tableColumn id="6" name="Scientific Question"/>
    <x:tableColumn id="7" name="Reading"/>
    <x:tableColumn id="8" name="Topic"/>
    <x:tableColumn id="9" name="Focus / Learning Goal"/>
    <x:tableColumn id="10" name="Adaptive Quiz Due"/>
    <x:tableColumn id="11" name="Homework Due"/>
    <x:tableColumn id="12" name="Exam / Assessment"/>
    <x:tableColumn id="13" name="Student-facing Summary"/>
    <x:tableColumn id="14" name="Instructor Notes"/>
    <x:tableColumn id="15" name="Visible to Students?"/>
  </x:tableColumns>
  <x:tableStyleInfo name="TableStyleMedium2" showRowStripes="1"/>
</x:table>
</file>

<file path=xl/tables/table2.xml><?xml version="1.0" encoding="utf-8"?>
<x:table xmlns:x="http://schemas.openxmlformats.org/spreadsheetml/2006/main" id="2" name="LearningObjectivesTable" displayName="LearningObjectivesTable" ref="A1:G16" headerRowCount="1">
  <x:tableColumns count="7">
    <x:tableColumn id="1" name="Chapter"/>
    <x:tableColumn id="2" name="Chapter Title"/>
    <x:tableColumn id="3" name="Scientific Question"/>
    <x:tableColumn id="4" name="Learning Objectives"/>
    <x:tableColumn id="5" name="Primary Skills / Representations"/>
    <x:tableColumn id="6" name="Assessment Connections"/>
    <x:tableColumn id="7" name="Instructor Notes"/>
  </x:tableColumns>
  <x:tableStyleInfo name="TableStyleMedium2" showRowStripes="1"/>
</x:table>
</file>

<file path=xl/tables/table3.xml><?xml version="1.0" encoding="utf-8"?>
<x:table xmlns:x="http://schemas.openxmlformats.org/spreadsheetml/2006/main" id="4" name="MolecularExplorationNotebookPlan" displayName="MolecularExplorationNotebookPlan" ref="A5:H9" headerRowCount="1" totalsRowCount="0" totalsRowShown="0">
  <x:tableColumns count="8">
    <x:tableColumn id="1" name="Entry"/>
    <x:tableColumn id="2" name="Due week"/>
    <x:tableColumn id="3" name="Scientific Question"/>
    <x:tableColumn id="4" name="Chapter alignment"/>
    <x:tableColumn id="5" name="Atlas / Notebook Focus"/>
    <x:tableColumn id="6" name="Canvas assignment name"/>
    <x:tableColumn id="7" name="Qualtrics survey name"/>
    <x:tableColumn id="8" name="Student task"/>
  </x:tableColumns>
  <x:tableStyleInfo name="TableStyleMedium2" showFirstColumn="0" showLastColumn="0" showRowStripes="1" showColumnStripes="0"/>
</x:table>
</file>

<file path=xl/tables/table4.xml><?xml version="1.0" encoding="utf-8"?>
<x:table xmlns:x="http://schemas.openxmlformats.org/spreadsheetml/2006/main" id="3" name="CanvasQualtricsBuildPlan" displayName="CanvasQualtricsBuildPlan" ref="A4:L101" headerRowCount="1" totalsRowCount="0" totalsRowShown="0">
  <x:autoFilter ref="A4:L101"/>
  <x:tableColumns count="12">
    <x:tableColumn id="1" name="Entry number"/>
    <x:tableColumn id="2" name="Due week"/>
    <x:tableColumn id="3" name="Scientific question"/>
    <x:tableColumn id="4" name="Chapter alignment"/>
    <x:tableColumn id="5" name="Canvas assignment name"/>
    <x:tableColumn id="6" name="Qualtrics survey name"/>
    <x:tableColumn id="7" name="Question text"/>
    <x:tableColumn id="8" name="Question type"/>
    <x:tableColumn id="9" name="Point value"/>
    <x:tableColumn id="10" name="Grading mode"/>
    <x:tableColumn id="11" name="Qualtrics variable name"/>
    <x:tableColumn id="12" name="Notes for instruct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d68bac5dee48e2" /></Relationships>
</file>

<file path=xl/worksheets/_rels/sheet5.xml.rels>&#65279;<?xml version="1.0" encoding="utf-8"?><Relationships xmlns="http://schemas.openxmlformats.org/package/2006/relationships"><Relationship Type="http://schemas.openxmlformats.org/officeDocument/2006/relationships/table" Target="/xl/tables/table2.xml" Id="Raa2785c1952946f5" /></Relationships>
</file>

<file path=xl/worksheets/_rels/sheet8.xml.rels>&#65279;<?xml version="1.0" encoding="utf-8"?><Relationships xmlns="http://schemas.openxmlformats.org/package/2006/relationships"><Relationship Type="http://schemas.openxmlformats.org/officeDocument/2006/relationships/table" Target="/xl/tables/table3.xml" Id="Ra69f041e80ab4ccb" /></Relationships>
</file>

<file path=xl/worksheets/_rels/sheet9.xml.rels>&#65279;<?xml version="1.0" encoding="utf-8"?><Relationships xmlns="http://schemas.openxmlformats.org/package/2006/relationships"><Relationship Type="http://schemas.openxmlformats.org/officeDocument/2006/relationships/table" Target="/xl/tables/table4.xml" Id="R59361ac22c0e4cf1" /></Relationships>
</file>

<file path=xl/worksheets/sheet1.xml><?xml version="1.0" encoding="utf-8"?>
<x:worksheet xmlns:x="http://schemas.openxmlformats.org/spreadsheetml/2006/main">
  <x:sheetFormatPr baseColWidth="8" defaultRowHeight="15"/>
  <x:cols>
    <x:col min="1" max="1" width="12" style="1" customWidth="1"/>
    <x:col min="2" max="2" width="8" style="1" customWidth="1"/>
    <x:col min="3" max="3" width="12" style="1" customWidth="1"/>
    <x:col min="4" max="4" width="14" style="1" customWidth="1"/>
    <x:col min="5" max="5" width="12" style="1" customWidth="1"/>
    <x:col min="6" max="6" width="38" style="1" customWidth="1"/>
    <x:col min="7" max="7" width="13" style="1" customWidth="1"/>
    <x:col min="8" max="8" width="34" style="1" customWidth="1"/>
    <x:col min="9" max="9" width="32" style="1" customWidth="1"/>
    <x:col min="10" max="10" width="26" style="1" customWidth="1"/>
    <x:col min="11" max="11" width="26" style="1" customWidth="1"/>
    <x:col min="12" max="12" width="24" style="1" customWidth="1"/>
    <x:col min="13" max="13" width="42" style="1" customWidth="1"/>
    <x:col min="14" max="14" width="30" style="1" customWidth="1"/>
    <x:col min="15" max="15" width="16" style="1" customWidth="1"/>
  </x:cols>
  <x:sheetData>
    <x:row r="1">
      <x:c r="A1" s="30" t="inlineStr">
        <x:is>
          <x:t xml:space="preserve">Date</x:t>
        </x:is>
      </x:c>
      <x:c r="B1" s="8" t="inlineStr">
        <x:is>
          <x:t xml:space="preserve">Week</x:t>
        </x:is>
      </x:c>
      <x:c r="C1" s="8" t="inlineStr">
        <x:is>
          <x:t xml:space="preserve">Day</x:t>
        </x:is>
      </x:c>
      <x:c r="D1" s="8" t="inlineStr">
        <x:is>
          <x:t xml:space="preserve">Meeting Type</x:t>
        </x:is>
      </x:c>
      <x:c r="E1" s="8" t="inlineStr">
        <x:is>
          <x:t xml:space="preserve">Chapter(s)</x:t>
        </x:is>
      </x:c>
      <x:c r="F1" s="8" t="inlineStr">
        <x:is>
          <x:t xml:space="preserve">Scientific Question</x:t>
        </x:is>
      </x:c>
      <x:c r="G1" s="8" t="inlineStr">
        <x:is>
          <x:t xml:space="preserve">Reading</x:t>
        </x:is>
      </x:c>
      <x:c r="H1" s="8" t="inlineStr">
        <x:is>
          <x:t xml:space="preserve">Topic</x:t>
        </x:is>
      </x:c>
      <x:c r="I1" s="8" t="inlineStr">
        <x:is>
          <x:t xml:space="preserve">Focus / Learning Goal</x:t>
        </x:is>
      </x:c>
      <x:c r="J1" s="8" t="inlineStr">
        <x:is>
          <x:t xml:space="preserve">Adaptive Quiz Due</x:t>
        </x:is>
      </x:c>
      <x:c r="K1" s="8" t="inlineStr">
        <x:is>
          <x:t xml:space="preserve">Homework Due</x:t>
        </x:is>
      </x:c>
      <x:c r="L1" s="8" t="inlineStr">
        <x:is>
          <x:t xml:space="preserve">Exam / Assessment</x:t>
        </x:is>
      </x:c>
      <x:c r="M1" s="8" t="inlineStr">
        <x:is>
          <x:t xml:space="preserve">Student-facing Summary</x:t>
        </x:is>
      </x:c>
      <x:c r="N1" s="8" t="inlineStr">
        <x:is>
          <x:t xml:space="preserve">Instructor Notes</x:t>
        </x:is>
      </x:c>
      <x:c r="O1" s="8" t="inlineStr">
        <x:is>
          <x:t xml:space="preserve">Visible to Students?</x:t>
        </x:is>
      </x:c>
    </x:row>
    <x:row r="2">
      <x:c r="A2" s="15" t="inlineStr">
        <x:is>
          <x:t xml:space="preserve">2025-07-14</x:t>
        </x:is>
      </x:c>
      <x:c r="B2" s="15" t="n">
        <x:v>1</x:v>
      </x:c>
      <x:c r="C2" s="15" t="inlineStr">
        <x:is>
          <x:t xml:space="preserve">Monday</x:t>
        </x:is>
      </x:c>
      <x:c r="D2" s="15" t="inlineStr">
        <x:is>
          <x:t xml:space="preserve">Lecture</x:t>
        </x:is>
      </x:c>
      <x:c r="E2" s="15" t="inlineStr">
        <x:is>
          <x:t xml:space="preserve">1</x:t>
        </x:is>
      </x:c>
      <x:c r="F2" s="15" t="inlineStr">
        <x:is>
          <x:t xml:space="preserve">What is biochemistry, and how do chemical principles explain living systems?</x:t>
        </x:is>
      </x:c>
      <x:c r="G2" s="15" t="inlineStr">
        <x:is>
          <x:t xml:space="preserve">1.1-1.5</x:t>
        </x:is>
      </x:c>
      <x:c r="H2" s="15" t="inlineStr">
        <x:is>
          <x:t xml:space="preserve">Chapter 1: Biochemistry Concepts and Themes</x:t>
        </x:is>
      </x:c>
      <x:c r="I2" s="15" t="inlineStr">
        <x:is>
          <x:t xml:space="preserve">Cells, molecules, equilibrium, thermodynamics</x:t>
        </x:is>
      </x:c>
      <x:c r="J2" s="15" t="n"/>
      <x:c r="K2" s="15" t="n"/>
      <x:c r="L2" s="15" t="n"/>
      <x:c r="M2" s="15" t="inlineStr">
        <x:is>
          <x:t xml:space="preserve">First day of class | Chapter 1: Biochemistry Concepts and Themes</x:t>
        </x:is>
      </x:c>
      <x:c r="N2" s="15" t="n"/>
      <x:c r="O2" s="15" t="b">
        <x:v>1</x:v>
      </x:c>
    </x:row>
    <x:row r="3">
      <x:c r="A3" s="15" t="inlineStr">
        <x:is>
          <x:t xml:space="preserve">2025-07-15</x:t>
        </x:is>
      </x:c>
      <x:c r="B3" s="15" t="n">
        <x:v>1</x:v>
      </x:c>
      <x:c r="C3" s="15" t="inlineStr">
        <x:is>
          <x:t xml:space="preserve">Tuesday</x:t>
        </x:is>
      </x:c>
      <x:c r="D3" s="15" t="inlineStr">
        <x:is>
          <x:t xml:space="preserve">Lecture</x:t>
        </x:is>
      </x:c>
      <x:c r="E3" s="15" t="inlineStr">
        <x:is>
          <x:t xml:space="preserve">2</x:t>
        </x:is>
      </x:c>
      <x:c r="F3" s="15" t="inlineStr">
        <x:is>
          <x:t xml:space="preserve">Why is water the molecular environment that makes life possible?</x:t>
        </x:is>
      </x:c>
      <x:c r="G3" s="15" t="inlineStr">
        <x:is>
          <x:t xml:space="preserve">2.1-2.3</x:t>
        </x:is>
      </x:c>
      <x:c r="H3" s="15" t="inlineStr">
        <x:is>
          <x:t xml:space="preserve">Chapter 2: Water: The Chemistry of Life</x:t>
        </x:is>
      </x:c>
      <x:c r="I3" s="15" t="inlineStr">
        <x:is>
          <x:t xml:space="preserve">Weak interactions in aqueous systems; buffer chemistry</x:t>
        </x:is>
      </x:c>
      <x:c r="J3" s="15" t="inlineStr">
        <x:is>
          <x:t xml:space="preserve">Adaptive Quiz Ch 1 due 11:59 PM</x:t>
        </x:is>
      </x:c>
      <x:c r="K3" s="15" t="n"/>
      <x:c r="L3" s="15" t="n"/>
      <x:c r="M3" s="15" t="inlineStr">
        <x:is>
          <x:t xml:space="preserve">Chapter 2: Water: The Chemistry of Life | Adaptive Quiz Ch 1 due 11:59 PM</x:t>
        </x:is>
      </x:c>
      <x:c r="N3" s="15" t="n"/>
      <x:c r="O3" s="15" t="b">
        <x:v>1</x:v>
      </x:c>
    </x:row>
    <x:row r="4">
      <x:c r="A4" s="15" t="inlineStr">
        <x:is>
          <x:t xml:space="preserve">2025-07-16</x:t>
        </x:is>
      </x:c>
      <x:c r="B4" s="15" t="n">
        <x:v>1</x:v>
      </x:c>
      <x:c r="C4" s="15" t="inlineStr">
        <x:is>
          <x:t xml:space="preserve">Wednesday</x:t>
        </x:is>
      </x:c>
      <x:c r="D4" s="15" t="inlineStr">
        <x:is>
          <x:t xml:space="preserve">Lecture</x:t>
        </x:is>
      </x:c>
      <x:c r="E4" s="15" t="inlineStr">
        <x:is>
          <x:t xml:space="preserve">3</x:t>
        </x:is>
      </x:c>
      <x:c r="F4" s="15" t="inlineStr">
        <x:is>
          <x:t xml:space="preserve">How do amino acid properties determine protein behavior?</x:t>
        </x:is>
      </x:c>
      <x:c r="G4" s="15" t="inlineStr">
        <x:is>
          <x:t xml:space="preserve">3.1-3.2</x:t>
        </x:is>
      </x:c>
      <x:c r="H4" s="15" t="inlineStr">
        <x:is>
          <x:t xml:space="preserve">Chapter 3: Amino acids, peptides, and proteins</x:t>
        </x:is>
      </x:c>
      <x:c r="I4" s="15" t="inlineStr">
        <x:is>
          <x:t xml:space="preserve">Amino acid chemistry, buffers, titrations, polypeptides, proteins</x:t>
        </x:is>
      </x:c>
      <x:c r="J4" s="15" t="inlineStr">
        <x:is>
          <x:t xml:space="preserve">Adaptive Quiz Ch 2 due 11:59 PM</x:t>
        </x:is>
      </x:c>
      <x:c r="K4" s="15" t="n"/>
      <x:c r="L4" s="15" t="n"/>
      <x:c r="M4" s="15" t="inlineStr">
        <x:is>
          <x:t xml:space="preserve">Chapter 3: Amino acids, peptides, and proteins | Adaptive Quiz Ch 2 due 11:59 PM</x:t>
        </x:is>
      </x:c>
      <x:c r="N4" s="15" t="n"/>
      <x:c r="O4" s="15" t="b">
        <x:v>1</x:v>
      </x:c>
    </x:row>
    <x:row r="5">
      <x:c r="A5" s="15" t="inlineStr">
        <x:is>
          <x:t xml:space="preserve">2025-07-17</x:t>
        </x:is>
      </x:c>
      <x:c r="B5" s="15" t="n">
        <x:v>1</x:v>
      </x:c>
      <x:c r="C5" s="15" t="inlineStr">
        <x:is>
          <x:t xml:space="preserve">Thursday</x:t>
        </x:is>
      </x:c>
      <x:c r="D5" s="15" t="inlineStr">
        <x:is>
          <x:t xml:space="preserve">Lecture</x:t>
        </x:is>
      </x:c>
      <x:c r="E5" s="15" t="inlineStr">
        <x:is>
          <x:t xml:space="preserve">3</x:t>
        </x:is>
      </x:c>
      <x:c r="F5" s="15" t="inlineStr">
        <x:is>
          <x:t xml:space="preserve">How do amino acid properties determine protein behavior?</x:t>
        </x:is>
      </x:c>
      <x:c r="G5" s="15" t="inlineStr">
        <x:is>
          <x:t xml:space="preserve">3.3-3.4</x:t>
        </x:is>
      </x:c>
      <x:c r="H5" s="15" t="inlineStr">
        <x:is>
          <x:t xml:space="preserve">Chapter 3 continued</x:t>
        </x:is>
      </x:c>
      <x:c r="I5" s="15" t="inlineStr">
        <x:is>
          <x:t xml:space="preserve">Biochemical techniques</x:t>
        </x:is>
      </x:c>
      <x:c r="J5" s="15" t="n"/>
      <x:c r="K5" s="15" t="n"/>
      <x:c r="L5" s="15" t="n"/>
      <x:c r="M5" s="15" t="inlineStr">
        <x:is>
          <x:t xml:space="preserve">Chapter 3 continued</x:t>
        </x:is>
      </x:c>
      <x:c r="N5" s="15" t="n"/>
      <x:c r="O5" s="15" t="b">
        <x:v>1</x:v>
      </x:c>
    </x:row>
    <x:row r="6">
      <x:c r="A6" s="15" t="inlineStr">
        <x:is>
          <x:t xml:space="preserve">2025-07-18</x:t>
        </x:is>
      </x:c>
      <x:c r="B6" s="15" t="n">
        <x:v>1</x:v>
      </x:c>
      <x:c r="C6" s="15" t="inlineStr">
        <x:is>
          <x:t xml:space="preserve">Friday</x:t>
        </x:is>
      </x:c>
      <x:c r="D6" s="15" t="inlineStr">
        <x:is>
          <x:t xml:space="preserve">Lecture</x:t>
        </x:is>
      </x:c>
      <x:c r="E6" s="15" t="inlineStr">
        <x:is>
          <x:t xml:space="preserve">4</x:t>
        </x:is>
      </x:c>
      <x:c r="F6" s="15" t="inlineStr">
        <x:is>
          <x:t xml:space="preserve">How does protein structure create biological function?</x:t>
        </x:is>
      </x:c>
      <x:c r="G6" s="15" t="inlineStr">
        <x:is>
          <x:t xml:space="preserve">4.1-4.4</x:t>
        </x:is>
      </x:c>
      <x:c r="H6" s="15" t="inlineStr">
        <x:is>
          <x:t xml:space="preserve">Chapter 4: Protein Structure</x:t>
        </x:is>
      </x:c>
      <x:c r="I6" s="15" t="n"/>
      <x:c r="J6" s="15" t="inlineStr">
        <x:is>
          <x:t xml:space="preserve">Adaptive Quiz Ch 3 due 11:59 PM</x:t>
        </x:is>
      </x:c>
      <x:c r="K6" s="15" t="n"/>
      <x:c r="L6" s="15" t="n"/>
      <x:c r="M6" s="15" t="inlineStr">
        <x:is>
          <x:t xml:space="preserve">Chapter 4: Protein Structure | Adaptive Quiz Ch 3 due 11:59 PM</x:t>
        </x:is>
      </x:c>
      <x:c r="N6" s="15" t="n"/>
      <x:c r="O6" s="15" t="b">
        <x:v>1</x:v>
      </x:c>
    </x:row>
    <x:row r="7">
      <x:c r="A7" s="15" t="inlineStr">
        <x:is>
          <x:t xml:space="preserve">2025-07-19</x:t>
        </x:is>
      </x:c>
      <x:c r="B7" s="15" t="n">
        <x:v>1</x:v>
      </x:c>
      <x:c r="C7" s="15" t="inlineStr">
        <x:is>
          <x:t xml:space="preserve">Saturday</x:t>
        </x:is>
      </x:c>
      <x:c r="D7" s="15" t="inlineStr">
        <x:is>
          <x:t xml:space="preserve">Async/Quiz</x:t>
        </x:is>
      </x:c>
      <x:c r="E7" s="15" t="inlineStr">
        <x:is>
          <x:t xml:space="preserve">4</x:t>
        </x:is>
      </x:c>
      <x:c r="F7" s="15" t="inlineStr">
        <x:is>
          <x:t xml:space="preserve">How does protein structure create biological function?</x:t>
        </x:is>
      </x:c>
      <x:c r="G7" s="15" t="n"/>
      <x:c r="H7" s="15" t="n"/>
      <x:c r="I7" s="15" t="n"/>
      <x:c r="J7" s="15" t="inlineStr">
        <x:is>
          <x:t xml:space="preserve">Adaptive Quiz Ch 4 due 11:59 PM</x:t>
        </x:is>
      </x:c>
      <x:c r="K7" s="15" t="n"/>
      <x:c r="L7" s="15" t="n"/>
      <x:c r="M7" s="15" t="inlineStr">
        <x:is>
          <x:t xml:space="preserve">Adaptive Quiz Ch 4 due 11:59 PM</x:t>
        </x:is>
      </x:c>
      <x:c r="N7" s="15" t="n"/>
      <x:c r="O7" s="15" t="b">
        <x:v>1</x:v>
      </x:c>
    </x:row>
    <x:row r="8">
      <x:c r="A8" s="15" t="inlineStr">
        <x:is>
          <x:t xml:space="preserve">2025-07-20</x:t>
        </x:is>
      </x:c>
      <x:c r="B8" s="15" t="n">
        <x:v>1</x:v>
      </x:c>
      <x:c r="C8" s="15" t="inlineStr">
        <x:is>
          <x:t xml:space="preserve">Sunday</x:t>
        </x:is>
      </x:c>
      <x:c r="D8" s="15" t="inlineStr">
        <x:is>
          <x:t xml:space="preserve">Homework</x:t>
        </x:is>
      </x:c>
      <x:c r="E8" s="15" t="inlineStr">
        <x:is>
          <x:t xml:space="preserve">1-4</x:t>
        </x:is>
      </x:c>
      <x:c r="F8" s="15" t="inlineStr">
        <x:is>
          <x:t xml:space="preserve">How do these concepts connect across chapters 1-4?</x:t>
        </x:is>
      </x:c>
      <x:c r="G8" s="15" t="n"/>
      <x:c r="H8" s="15" t="n"/>
      <x:c r="I8" s="15" t="n"/>
      <x:c r="J8" s="15" t="n"/>
      <x:c r="K8" s="15" t="inlineStr">
        <x:is>
          <x:t xml:space="preserve">Homework Chapters 1-4 due 11:59 PM</x:t>
        </x:is>
      </x:c>
      <x:c r="L8" s="15" t="n"/>
      <x:c r="M8" s="15" t="inlineStr">
        <x:is>
          <x:t xml:space="preserve">Homework Chapters 1-4 due 11:59 PM</x:t>
        </x:is>
      </x:c>
      <x:c r="N8" s="15" t="n"/>
      <x:c r="O8" s="15" t="b">
        <x:v>1</x:v>
      </x:c>
    </x:row>
    <x:row r="9">
      <x:c r="A9" s="15" t="inlineStr">
        <x:is>
          <x:t xml:space="preserve">2025-07-21</x:t>
        </x:is>
      </x:c>
      <x:c r="B9" s="15" t="n">
        <x:v>2</x:v>
      </x:c>
      <x:c r="C9" s="15" t="inlineStr">
        <x:is>
          <x:t xml:space="preserve">Monday</x:t>
        </x:is>
      </x:c>
      <x:c r="D9" s="15" t="inlineStr">
        <x:is>
          <x:t xml:space="preserve">Lecture</x:t>
        </x:is>
      </x:c>
      <x:c r="E9" s="15" t="inlineStr">
        <x:is>
          <x:t xml:space="preserve">5</x:t>
        </x:is>
      </x:c>
      <x:c r="F9" s="15" t="inlineStr">
        <x:is>
          <x:t xml:space="preserve">How do proteins recognize and bind specific molecules?</x:t>
        </x:is>
      </x:c>
      <x:c r="G9" s="15" t="inlineStr">
        <x:is>
          <x:t xml:space="preserve">5.1-5.4</x:t>
        </x:is>
      </x:c>
      <x:c r="H9" s="15" t="inlineStr">
        <x:is>
          <x:t xml:space="preserve">Chapter 5: Protein Function and Ligand Binding</x:t>
        </x:is>
      </x:c>
      <x:c r="I9" s="15" t="n"/>
      <x:c r="J9" s="15" t="n"/>
      <x:c r="K9" s="15" t="n"/>
      <x:c r="L9" s="15" t="n"/>
      <x:c r="M9" s="15" t="inlineStr">
        <x:is>
          <x:t xml:space="preserve">Chapter 5: Protein Function and Ligand Binding</x:t>
        </x:is>
      </x:c>
      <x:c r="N9" s="15" t="n"/>
      <x:c r="O9" s="15" t="b">
        <x:v>1</x:v>
      </x:c>
    </x:row>
    <x:row r="10">
      <x:c r="A10" s="15" t="inlineStr">
        <x:is>
          <x:t xml:space="preserve">2025-07-22</x:t>
        </x:is>
      </x:c>
      <x:c r="B10" s="15" t="n">
        <x:v>2</x:v>
      </x:c>
      <x:c r="C10" s="15" t="inlineStr">
        <x:is>
          <x:t xml:space="preserve">Tuesday</x:t>
        </x:is>
      </x:c>
      <x:c r="D10" s="15" t="inlineStr">
        <x:is>
          <x:t xml:space="preserve">Exam</x:t>
        </x:is>
      </x:c>
      <x:c r="E10" s="15" t="inlineStr">
        <x:is>
          <x:t xml:space="preserve">1-4</x:t>
        </x:is>
      </x:c>
      <x:c r="F10" s="15" t="inlineStr">
        <x:is>
          <x:t xml:space="preserve">How do these concepts connect across chapters 1-4?</x:t>
        </x:is>
      </x:c>
      <x:c r="G10" s="15" t="n"/>
      <x:c r="H10" s="15" t="inlineStr">
        <x:is>
          <x:t xml:space="preserve">Exam 1</x:t>
        </x:is>
      </x:c>
      <x:c r="I10" s="15" t="n"/>
      <x:c r="J10" s="15" t="n"/>
      <x:c r="K10" s="15" t="n"/>
      <x:c r="L10" s="15" t="inlineStr">
        <x:is>
          <x:t xml:space="preserve">Exam 1 Chapters 1-4 due 11:59 PM</x:t>
        </x:is>
      </x:c>
      <x:c r="M10" s="15" t="inlineStr">
        <x:is>
          <x:t xml:space="preserve">EXAM 1 | Exam 1 | Exam 1 Chapters 1-4 due 11:59 PM</x:t>
        </x:is>
      </x:c>
      <x:c r="N10" s="15" t="n"/>
      <x:c r="O10" s="15" t="b">
        <x:v>1</x:v>
      </x:c>
    </x:row>
    <x:row r="11">
      <x:c r="A11" s="15" t="inlineStr">
        <x:is>
          <x:t xml:space="preserve">2025-07-23</x:t>
        </x:is>
      </x:c>
      <x:c r="B11" s="15" t="n">
        <x:v>2</x:v>
      </x:c>
      <x:c r="C11" s="15" t="inlineStr">
        <x:is>
          <x:t xml:space="preserve">Wednesday</x:t>
        </x:is>
      </x:c>
      <x:c r="D11" s="15" t="inlineStr">
        <x:is>
          <x:t xml:space="preserve">Lecture</x:t>
        </x:is>
      </x:c>
      <x:c r="E11" s="15" t="inlineStr">
        <x:is>
          <x:t xml:space="preserve">6</x:t>
        </x:is>
      </x:c>
      <x:c r="F11" s="15" t="inlineStr">
        <x:is>
          <x:t xml:space="preserve">How do enzymes accelerate reactions and regulate cellular chemistry?</x:t>
        </x:is>
      </x:c>
      <x:c r="G11" s="15" t="inlineStr">
        <x:is>
          <x:t xml:space="preserve">6.1-6.2</x:t>
        </x:is>
      </x:c>
      <x:c r="H11" s="15" t="inlineStr">
        <x:is>
          <x:t xml:space="preserve">Chapter 6: Protein Functions and Enzymes</x:t>
        </x:is>
      </x:c>
      <x:c r="I11" s="15" t="inlineStr">
        <x:is>
          <x:t xml:space="preserve">General overview of catalysis</x:t>
        </x:is>
      </x:c>
      <x:c r="J11" s="15" t="inlineStr">
        <x:is>
          <x:t xml:space="preserve">Adaptive Quiz Ch 5 due 11:59 PM</x:t>
        </x:is>
      </x:c>
      <x:c r="K11" s="15" t="n"/>
      <x:c r="L11" s="15" t="n"/>
      <x:c r="M11" s="15" t="inlineStr">
        <x:is>
          <x:t xml:space="preserve">Chapter 6: Protein Functions and Enzymes | Adaptive Quiz Ch 5 due 11:59 PM</x:t>
        </x:is>
      </x:c>
      <x:c r="N11" s="15" t="n"/>
      <x:c r="O11" s="15" t="b">
        <x:v>1</x:v>
      </x:c>
    </x:row>
    <x:row r="12">
      <x:c r="A12" s="15" t="inlineStr">
        <x:is>
          <x:t xml:space="preserve">2025-07-24</x:t>
        </x:is>
      </x:c>
      <x:c r="B12" s="15" t="n">
        <x:v>2</x:v>
      </x:c>
      <x:c r="C12" s="15" t="inlineStr">
        <x:is>
          <x:t xml:space="preserve">Thursday</x:t>
        </x:is>
      </x:c>
      <x:c r="D12" s="15" t="inlineStr">
        <x:is>
          <x:t xml:space="preserve">Lecture</x:t>
        </x:is>
      </x:c>
      <x:c r="E12" s="15" t="inlineStr">
        <x:is>
          <x:t xml:space="preserve">6</x:t>
        </x:is>
      </x:c>
      <x:c r="F12" s="15" t="inlineStr">
        <x:is>
          <x:t xml:space="preserve">How do enzymes accelerate reactions and regulate cellular chemistry?</x:t>
        </x:is>
      </x:c>
      <x:c r="G12" s="15" t="inlineStr">
        <x:is>
          <x:t xml:space="preserve">6.3</x:t>
        </x:is>
      </x:c>
      <x:c r="H12" s="15" t="inlineStr">
        <x:is>
          <x:t xml:space="preserve">Chapter 6 continued</x:t>
        </x:is>
      </x:c>
      <x:c r="I12" s="15" t="inlineStr">
        <x:is>
          <x:t xml:space="preserve">Kinetics and mechanism</x:t>
        </x:is>
      </x:c>
      <x:c r="J12" s="15" t="n"/>
      <x:c r="K12" s="15" t="n"/>
      <x:c r="L12" s="15" t="n"/>
      <x:c r="M12" s="15" t="inlineStr">
        <x:is>
          <x:t xml:space="preserve">Chapter 6 continued</x:t>
        </x:is>
      </x:c>
      <x:c r="N12" s="15" t="n"/>
      <x:c r="O12" s="15" t="b">
        <x:v>1</x:v>
      </x:c>
    </x:row>
    <x:row r="13">
      <x:c r="A13" s="15" t="inlineStr">
        <x:is>
          <x:t xml:space="preserve">2025-07-25</x:t>
        </x:is>
      </x:c>
      <x:c r="B13" s="15" t="n">
        <x:v>2</x:v>
      </x:c>
      <x:c r="C13" s="15" t="inlineStr">
        <x:is>
          <x:t xml:space="preserve">Friday</x:t>
        </x:is>
      </x:c>
      <x:c r="D13" s="15" t="inlineStr">
        <x:is>
          <x:t xml:space="preserve">Lecture</x:t>
        </x:is>
      </x:c>
      <x:c r="E13" s="15" t="inlineStr">
        <x:is>
          <x:t xml:space="preserve">6</x:t>
        </x:is>
      </x:c>
      <x:c r="F13" s="15" t="inlineStr">
        <x:is>
          <x:t xml:space="preserve">How do enzymes accelerate reactions and regulate cellular chemistry?</x:t>
        </x:is>
      </x:c>
      <x:c r="G13" s="15" t="inlineStr">
        <x:is>
          <x:t xml:space="preserve">6.4-6.5</x:t>
        </x:is>
      </x:c>
      <x:c r="H13" s="15" t="inlineStr">
        <x:is>
          <x:t xml:space="preserve">Chapter 6 continued</x:t>
        </x:is>
      </x:c>
      <x:c r="I13" s="15" t="inlineStr">
        <x:is>
          <x:t xml:space="preserve">Regulation</x:t>
        </x:is>
      </x:c>
      <x:c r="J13" s="15" t="n"/>
      <x:c r="K13" s="15" t="n"/>
      <x:c r="L13" s="15" t="n"/>
      <x:c r="M13" s="15" t="inlineStr">
        <x:is>
          <x:t xml:space="preserve">Chapter 6 continued</x:t>
        </x:is>
      </x:c>
      <x:c r="N13" s="15" t="n"/>
      <x:c r="O13" s="15" t="b">
        <x:v>1</x:v>
      </x:c>
    </x:row>
    <x:row r="14">
      <x:c r="A14" s="15" t="inlineStr">
        <x:is>
          <x:t xml:space="preserve">2025-07-26</x:t>
        </x:is>
      </x:c>
      <x:c r="B14" s="15" t="n">
        <x:v>2</x:v>
      </x:c>
      <x:c r="C14" s="15" t="inlineStr">
        <x:is>
          <x:t xml:space="preserve">Saturday</x:t>
        </x:is>
      </x:c>
      <x:c r="D14" s="15" t="inlineStr">
        <x:is>
          <x:t xml:space="preserve">Async/Quiz</x:t>
        </x:is>
      </x:c>
      <x:c r="E14" s="15" t="inlineStr">
        <x:is>
          <x:t xml:space="preserve">6</x:t>
        </x:is>
      </x:c>
      <x:c r="F14" s="15" t="inlineStr">
        <x:is>
          <x:t xml:space="preserve">How do enzymes accelerate reactions and regulate cellular chemistry?</x:t>
        </x:is>
      </x:c>
      <x:c r="G14" s="15" t="n"/>
      <x:c r="H14" s="15" t="n"/>
      <x:c r="I14" s="15" t="n"/>
      <x:c r="J14" s="15" t="inlineStr">
        <x:is>
          <x:t xml:space="preserve">Adaptive Quiz Ch 6 due 11:59 PM</x:t>
        </x:is>
      </x:c>
      <x:c r="K14" s="15" t="n"/>
      <x:c r="L14" s="15" t="n"/>
      <x:c r="M14" s="15" t="inlineStr">
        <x:is>
          <x:t xml:space="preserve">Adaptive Quiz Ch 6 due 11:59 PM</x:t>
        </x:is>
      </x:c>
      <x:c r="N14" s="15" t="n"/>
      <x:c r="O14" s="15" t="b">
        <x:v>1</x:v>
      </x:c>
    </x:row>
    <x:row r="15">
      <x:c r="A15" s="15" t="inlineStr">
        <x:is>
          <x:t xml:space="preserve">2025-07-27</x:t>
        </x:is>
      </x:c>
      <x:c r="B15" s="15" t="n">
        <x:v>2</x:v>
      </x:c>
      <x:c r="C15" s="15" t="inlineStr">
        <x:is>
          <x:t xml:space="preserve">Sunday</x:t>
        </x:is>
      </x:c>
      <x:c r="D15" s="15" t="inlineStr">
        <x:is>
          <x:t xml:space="preserve">Homework</x:t>
        </x:is>
      </x:c>
      <x:c r="E15" s="15" t="inlineStr">
        <x:is>
          <x:t xml:space="preserve">5-6</x:t>
        </x:is>
      </x:c>
      <x:c r="F15" s="15" t="inlineStr">
        <x:is>
          <x:t xml:space="preserve">How do these concepts connect across chapters 5-6?</x:t>
        </x:is>
      </x:c>
      <x:c r="G15" s="15" t="n"/>
      <x:c r="H15" s="15" t="n"/>
      <x:c r="I15" s="15" t="n"/>
      <x:c r="J15" s="15" t="n"/>
      <x:c r="K15" s="15" t="inlineStr">
        <x:is>
          <x:t xml:space="preserve">Homework Chapters 5-6 due 11:59 PM</x:t>
        </x:is>
      </x:c>
      <x:c r="L15" s="15" t="n"/>
      <x:c r="M15" s="15" t="inlineStr">
        <x:is>
          <x:t xml:space="preserve">Homework Chapters 5-6 due 11:59 PM</x:t>
        </x:is>
      </x:c>
      <x:c r="N15" s="15" t="n"/>
      <x:c r="O15" s="15" t="b">
        <x:v>1</x:v>
      </x:c>
    </x:row>
    <x:row r="16">
      <x:c r="A16" s="15" t="inlineStr">
        <x:is>
          <x:t xml:space="preserve">2025-07-28</x:t>
        </x:is>
      </x:c>
      <x:c r="B16" s="15" t="n">
        <x:v>3</x:v>
      </x:c>
      <x:c r="C16" s="15" t="inlineStr">
        <x:is>
          <x:t xml:space="preserve">Monday</x:t>
        </x:is>
      </x:c>
      <x:c r="D16" s="15" t="inlineStr">
        <x:is>
          <x:t xml:space="preserve">Lecture</x:t>
        </x:is>
      </x:c>
      <x:c r="E16" s="15" t="inlineStr">
        <x:is>
          <x:t xml:space="preserve">7</x:t>
        </x:is>
      </x:c>
      <x:c r="F16" s="15" t="inlineStr">
        <x:is>
          <x:t xml:space="preserve">How do carbohydrates store information, energy, and structure?</x:t>
        </x:is>
      </x:c>
      <x:c r="G16" s="15" t="inlineStr">
        <x:is>
          <x:t xml:space="preserve">7.1-7.2</x:t>
        </x:is>
      </x:c>
      <x:c r="H16" s="15" t="inlineStr">
        <x:is>
          <x:t xml:space="preserve">Chapter 7: Carbohydrates</x:t>
        </x:is>
      </x:c>
      <x:c r="I16" s="15" t="inlineStr">
        <x:is>
          <x:t xml:space="preserve">Mono-, di-, polysaccharides</x:t>
        </x:is>
      </x:c>
      <x:c r="J16" s="15" t="n"/>
      <x:c r="K16" s="15" t="n"/>
      <x:c r="L16" s="15" t="n"/>
      <x:c r="M16" s="15" t="inlineStr">
        <x:is>
          <x:t xml:space="preserve">Chapter 7: Carbohydrates</x:t>
        </x:is>
      </x:c>
      <x:c r="N16" s="15" t="n"/>
      <x:c r="O16" s="15" t="b">
        <x:v>1</x:v>
      </x:c>
    </x:row>
    <x:row r="17">
      <x:c r="A17" s="15" t="inlineStr">
        <x:is>
          <x:t xml:space="preserve">2025-07-29</x:t>
        </x:is>
      </x:c>
      <x:c r="B17" s="15" t="n">
        <x:v>3</x:v>
      </x:c>
      <x:c r="C17" s="15" t="inlineStr">
        <x:is>
          <x:t xml:space="preserve">Tuesday</x:t>
        </x:is>
      </x:c>
      <x:c r="D17" s="15" t="inlineStr">
        <x:is>
          <x:t xml:space="preserve">Lecture</x:t>
        </x:is>
      </x:c>
      <x:c r="E17" s="15" t="inlineStr">
        <x:is>
          <x:t xml:space="preserve">7</x:t>
        </x:is>
      </x:c>
      <x:c r="F17" s="15" t="inlineStr">
        <x:is>
          <x:t xml:space="preserve">How do carbohydrates store information, energy, and structure?</x:t>
        </x:is>
      </x:c>
      <x:c r="G17" s="15" t="inlineStr">
        <x:is>
          <x:t xml:space="preserve">7.3-7.4</x:t>
        </x:is>
      </x:c>
      <x:c r="H17" s="15" t="inlineStr">
        <x:is>
          <x:t xml:space="preserve">Chapter 7: Carbohydrates continued</x:t>
        </x:is>
      </x:c>
      <x:c r="I17" s="15" t="n"/>
      <x:c r="J17" s="15" t="n"/>
      <x:c r="K17" s="15" t="n"/>
      <x:c r="L17" s="15" t="n"/>
      <x:c r="M17" s="15" t="inlineStr">
        <x:is>
          <x:t xml:space="preserve">Chapter 7: Carbohydrates continued</x:t>
        </x:is>
      </x:c>
      <x:c r="N17" s="15" t="n"/>
      <x:c r="O17" s="15" t="b">
        <x:v>1</x:v>
      </x:c>
    </x:row>
    <x:row r="18">
      <x:c r="A18" s="15" t="inlineStr">
        <x:is>
          <x:t xml:space="preserve">2025-07-30</x:t>
        </x:is>
      </x:c>
      <x:c r="B18" s="15" t="n">
        <x:v>3</x:v>
      </x:c>
      <x:c r="C18" s="15" t="inlineStr">
        <x:is>
          <x:t xml:space="preserve">Wednesday</x:t>
        </x:is>
      </x:c>
      <x:c r="D18" s="15" t="inlineStr">
        <x:is>
          <x:t xml:space="preserve">Lecture</x:t>
        </x:is>
      </x:c>
      <x:c r="E18" s="15" t="inlineStr">
        <x:is>
          <x:t xml:space="preserve">8</x:t>
        </x:is>
      </x:c>
      <x:c r="F18" s="15" t="inlineStr">
        <x:is>
          <x:t xml:space="preserve">How do lipids and membranes organize cellular boundaries and signaling?</x:t>
        </x:is>
      </x:c>
      <x:c r="G18" s="15" t="inlineStr">
        <x:is>
          <x:t xml:space="preserve">8.1-8.3</x:t>
        </x:is>
      </x:c>
      <x:c r="H18" s="15" t="inlineStr">
        <x:is>
          <x:t xml:space="preserve">Chapter 8: Lipids, membranes, and membrane proteins</x:t>
        </x:is>
      </x:c>
      <x:c r="I18" s="15" t="inlineStr">
        <x:is>
          <x:t xml:space="preserve">Membrane structure and role in signaling</x:t>
        </x:is>
      </x:c>
      <x:c r="J18" s="15" t="inlineStr">
        <x:is>
          <x:t xml:space="preserve">Adaptive Quiz Ch 7 due 11:59 PM</x:t>
        </x:is>
      </x:c>
      <x:c r="K18" s="15" t="n"/>
      <x:c r="L18" s="15" t="n"/>
      <x:c r="M18" s="15" t="inlineStr">
        <x:is>
          <x:t xml:space="preserve">Chapter 8: Lipids, membranes, and membrane proteins | Adaptive Quiz Ch 7 due 11:59 PM</x:t>
        </x:is>
      </x:c>
      <x:c r="N18" s="15" t="n"/>
      <x:c r="O18" s="15" t="b">
        <x:v>1</x:v>
      </x:c>
    </x:row>
    <x:row r="19">
      <x:c r="A19" s="15" t="inlineStr">
        <x:is>
          <x:t xml:space="preserve">2025-07-31</x:t>
        </x:is>
      </x:c>
      <x:c r="B19" s="15" t="n">
        <x:v>3</x:v>
      </x:c>
      <x:c r="C19" s="15" t="inlineStr">
        <x:is>
          <x:t xml:space="preserve">Thursday</x:t>
        </x:is>
      </x:c>
      <x:c r="D19" s="15" t="inlineStr">
        <x:is>
          <x:t xml:space="preserve">Lecture</x:t>
        </x:is>
      </x:c>
      <x:c r="E19" s="15" t="inlineStr">
        <x:is>
          <x:t xml:space="preserve">13</x:t>
        </x:is>
      </x:c>
      <x:c r="F19" s="15" t="inlineStr">
        <x:is>
          <x:t xml:space="preserve">How do cells organize metabolism and manage energy?</x:t>
        </x:is>
      </x:c>
      <x:c r="G19" s="15" t="inlineStr">
        <x:is>
          <x:t xml:space="preserve">13.1-13.2</x:t>
        </x:is>
      </x:c>
      <x:c r="H19" s="15" t="inlineStr">
        <x:is>
          <x:t xml:space="preserve">Chapter 13: Introduction to intermediary metabolism</x:t>
        </x:is>
      </x:c>
      <x:c r="I19" s="15" t="inlineStr">
        <x:is>
          <x:t xml:space="preserve">Metabolism and energetics overview</x:t>
        </x:is>
      </x:c>
      <x:c r="J19" s="15" t="inlineStr">
        <x:is>
          <x:t xml:space="preserve">Adaptive Quiz Ch 8 due 11:59 PM</x:t>
        </x:is>
      </x:c>
      <x:c r="K19" s="15" t="n"/>
      <x:c r="L19" s="15" t="n"/>
      <x:c r="M19" s="15" t="inlineStr">
        <x:is>
          <x:t xml:space="preserve">Chapter 13: Introduction to intermediary metabolism | Adaptive Quiz Ch 8 due 11:59 PM</x:t>
        </x:is>
      </x:c>
      <x:c r="N19" s="15" t="n"/>
      <x:c r="O19" s="15" t="b">
        <x:v>1</x:v>
      </x:c>
    </x:row>
    <x:row r="20">
      <x:c r="A20" s="15" t="inlineStr">
        <x:is>
          <x:t xml:space="preserve">2025-08-01</x:t>
        </x:is>
      </x:c>
      <x:c r="B20" s="15" t="n">
        <x:v>3</x:v>
      </x:c>
      <x:c r="C20" s="15" t="inlineStr">
        <x:is>
          <x:t xml:space="preserve">Friday</x:t>
        </x:is>
      </x:c>
      <x:c r="D20" s="15" t="inlineStr">
        <x:is>
          <x:t xml:space="preserve">Lecture</x:t>
        </x:is>
      </x:c>
      <x:c r="E20" s="15" t="inlineStr">
        <x:is>
          <x:t xml:space="preserve">13</x:t>
        </x:is>
      </x:c>
      <x:c r="F20" s="15" t="inlineStr">
        <x:is>
          <x:t xml:space="preserve">How do cells organize metabolism and manage energy?</x:t>
        </x:is>
      </x:c>
      <x:c r="G20" s="15" t="inlineStr">
        <x:is>
          <x:t xml:space="preserve">13.3-13.5</x:t>
        </x:is>
      </x:c>
      <x:c r="H20" s="15" t="inlineStr">
        <x:is>
          <x:t xml:space="preserve">Chapter 13: Introduction to intermediary metabolism</x:t>
        </x:is>
      </x:c>
      <x:c r="I20" s="15" t="inlineStr">
        <x:is>
          <x:t xml:space="preserve">Metabolism and energetics overview</x:t>
        </x:is>
      </x:c>
      <x:c r="J20" s="15" t="n"/>
      <x:c r="K20" s="15" t="n"/>
      <x:c r="L20" s="15" t="n"/>
      <x:c r="M20" s="15" t="inlineStr">
        <x:is>
          <x:t xml:space="preserve">Chapter 13: Introduction to intermediary metabolism</x:t>
        </x:is>
      </x:c>
      <x:c r="N20" s="15" t="n"/>
      <x:c r="O20" s="15" t="b">
        <x:v>1</x:v>
      </x:c>
    </x:row>
    <x:row r="21">
      <x:c r="A21" s="15" t="inlineStr">
        <x:is>
          <x:t xml:space="preserve">2025-08-02</x:t>
        </x:is>
      </x:c>
      <x:c r="B21" s="15" t="n">
        <x:v>3</x:v>
      </x:c>
      <x:c r="C21" s="15" t="inlineStr">
        <x:is>
          <x:t xml:space="preserve">Saturday</x:t>
        </x:is>
      </x:c>
      <x:c r="D21" s="15" t="inlineStr">
        <x:is>
          <x:t xml:space="preserve">Async/Quiz</x:t>
        </x:is>
      </x:c>
      <x:c r="E21" s="15" t="inlineStr">
        <x:is>
          <x:t xml:space="preserve">13</x:t>
        </x:is>
      </x:c>
      <x:c r="F21" s="15" t="inlineStr">
        <x:is>
          <x:t xml:space="preserve">How do cells organize metabolism and manage energy?</x:t>
        </x:is>
      </x:c>
      <x:c r="G21" s="15" t="n"/>
      <x:c r="H21" s="15" t="n"/>
      <x:c r="I21" s="15" t="n"/>
      <x:c r="J21" s="15" t="inlineStr">
        <x:is>
          <x:t xml:space="preserve">Adaptive Quiz Ch 13 due 11:59 PM</x:t>
        </x:is>
      </x:c>
      <x:c r="K21" s="15" t="n"/>
      <x:c r="L21" s="15" t="n"/>
      <x:c r="M21" s="15" t="inlineStr">
        <x:is>
          <x:t xml:space="preserve">Adaptive Quiz Ch 13 due 11:59 PM</x:t>
        </x:is>
      </x:c>
      <x:c r="N21" s="15" t="n"/>
      <x:c r="O21" s="15" t="b">
        <x:v>1</x:v>
      </x:c>
    </x:row>
    <x:row r="22">
      <x:c r="A22" s="15" t="inlineStr">
        <x:is>
          <x:t xml:space="preserve">2025-08-03</x:t>
        </x:is>
      </x:c>
      <x:c r="B22" s="15" t="n">
        <x:v>3</x:v>
      </x:c>
      <x:c r="C22" s="15" t="inlineStr">
        <x:is>
          <x:t xml:space="preserve">Sunday</x:t>
        </x:is>
      </x:c>
      <x:c r="D22" s="15" t="inlineStr">
        <x:is>
          <x:t xml:space="preserve">Homework</x:t>
        </x:is>
      </x:c>
      <x:c r="E22" s="15" t="inlineStr">
        <x:is>
          <x:t xml:space="preserve">7-8,13</x:t>
        </x:is>
      </x:c>
      <x:c r="F22" s="15" t="inlineStr">
        <x:is>
          <x:t xml:space="preserve">How do these concepts connect across chapters 7-8,13?</x:t>
        </x:is>
      </x:c>
      <x:c r="G22" s="15" t="n"/>
      <x:c r="H22" s="15" t="n"/>
      <x:c r="I22" s="15" t="n"/>
      <x:c r="J22" s="15" t="n"/>
      <x:c r="K22" s="15" t="inlineStr">
        <x:is>
          <x:t xml:space="preserve">Homework Chapters 7-8, 13 due 11:59 PM</x:t>
        </x:is>
      </x:c>
      <x:c r="L22" s="15" t="n"/>
      <x:c r="M22" s="15" t="inlineStr">
        <x:is>
          <x:t xml:space="preserve">Homework Chapters 7-8, 13 due 11:59 PM</x:t>
        </x:is>
      </x:c>
      <x:c r="N22" s="15" t="n"/>
      <x:c r="O22" s="15" t="b">
        <x:v>1</x:v>
      </x:c>
    </x:row>
    <x:row r="23">
      <x:c r="A23" s="15" t="inlineStr">
        <x:is>
          <x:t xml:space="preserve">2025-08-04</x:t>
        </x:is>
      </x:c>
      <x:c r="B23" s="15" t="n">
        <x:v>4</x:v>
      </x:c>
      <x:c r="C23" s="15" t="inlineStr">
        <x:is>
          <x:t xml:space="preserve">Monday</x:t>
        </x:is>
      </x:c>
      <x:c r="D23" s="15" t="inlineStr">
        <x:is>
          <x:t xml:space="preserve">Lecture</x:t>
        </x:is>
      </x:c>
      <x:c r="E23" s="15" t="inlineStr">
        <x:is>
          <x:t xml:space="preserve">14</x:t>
        </x:is>
      </x:c>
      <x:c r="F23" s="15" t="inlineStr">
        <x:is>
          <x:t xml:space="preserve">How do cells extract energy from glucose?</x:t>
        </x:is>
      </x:c>
      <x:c r="G23" s="15" t="inlineStr">
        <x:is>
          <x:t xml:space="preserve">14.1-14.2</x:t>
        </x:is>
      </x:c>
      <x:c r="H23" s="15" t="inlineStr">
        <x:is>
          <x:t xml:space="preserve">Chapter 14: Carbohydrate metabolism Part I</x:t>
        </x:is>
      </x:c>
      <x:c r="I23" s="15" t="inlineStr">
        <x:is>
          <x:t xml:space="preserve">Glycolysis and Glycogen Synthesis</x:t>
        </x:is>
      </x:c>
      <x:c r="J23" s="15" t="n"/>
      <x:c r="K23" s="15" t="n"/>
      <x:c r="L23" s="15" t="n"/>
      <x:c r="M23" s="15" t="inlineStr">
        <x:is>
          <x:t xml:space="preserve">Chapter 14: Carbohydrate metabolism Part I</x:t>
        </x:is>
      </x:c>
      <x:c r="N23" s="15" t="n"/>
      <x:c r="O23" s="15" t="b">
        <x:v>1</x:v>
      </x:c>
    </x:row>
    <x:row r="24">
      <x:c r="A24" s="15" t="inlineStr">
        <x:is>
          <x:t xml:space="preserve">2025-08-05</x:t>
        </x:is>
      </x:c>
      <x:c r="B24" s="15" t="n">
        <x:v>4</x:v>
      </x:c>
      <x:c r="C24" s="15" t="inlineStr">
        <x:is>
          <x:t xml:space="preserve">Tuesday</x:t>
        </x:is>
      </x:c>
      <x:c r="D24" s="15" t="inlineStr">
        <x:is>
          <x:t xml:space="preserve">Exam</x:t>
        </x:is>
      </x:c>
      <x:c r="E24" s="15" t="inlineStr">
        <x:is>
          <x:t xml:space="preserve">5-8,13</x:t>
        </x:is>
      </x:c>
      <x:c r="F24" s="15" t="inlineStr">
        <x:is>
          <x:t xml:space="preserve">How do these concepts connect across chapters 5-8,13?</x:t>
        </x:is>
      </x:c>
      <x:c r="G24" s="15" t="n"/>
      <x:c r="H24" s="15" t="inlineStr">
        <x:is>
          <x:t xml:space="preserve">Exam 2</x:t>
        </x:is>
      </x:c>
      <x:c r="I24" s="15" t="n"/>
      <x:c r="J24" s="15" t="n"/>
      <x:c r="K24" s="15" t="n"/>
      <x:c r="L24" s="15" t="inlineStr">
        <x:is>
          <x:t xml:space="preserve">Exam 2 Chapters 5-8, 13 due 11:59 PM</x:t>
        </x:is>
      </x:c>
      <x:c r="M24" s="15" t="inlineStr">
        <x:is>
          <x:t xml:space="preserve">EXAM 2 | Exam 2 | Exam 2 Chapters 5-8, 13 due 11:59 PM</x:t>
        </x:is>
      </x:c>
      <x:c r="N24" s="15" t="n"/>
      <x:c r="O24" s="15" t="b">
        <x:v>1</x:v>
      </x:c>
    </x:row>
    <x:row r="25">
      <x:c r="A25" s="15" t="inlineStr">
        <x:is>
          <x:t xml:space="preserve">2025-08-06</x:t>
        </x:is>
      </x:c>
      <x:c r="B25" s="15" t="n">
        <x:v>4</x:v>
      </x:c>
      <x:c r="C25" s="15" t="inlineStr">
        <x:is>
          <x:t xml:space="preserve">Wednesday</x:t>
        </x:is>
      </x:c>
      <x:c r="D25" s="15" t="inlineStr">
        <x:is>
          <x:t xml:space="preserve">Lecture</x:t>
        </x:is>
      </x:c>
      <x:c r="E25" s="15" t="inlineStr">
        <x:is>
          <x:t xml:space="preserve">14</x:t>
        </x:is>
      </x:c>
      <x:c r="F25" s="15" t="inlineStr">
        <x:is>
          <x:t xml:space="preserve">How do cells extract energy from glucose?</x:t>
        </x:is>
      </x:c>
      <x:c r="G25" s="15" t="inlineStr">
        <x:is>
          <x:t xml:space="preserve">14.3-14.5</x:t>
        </x:is>
      </x:c>
      <x:c r="H25" s="15" t="inlineStr">
        <x:is>
          <x:t xml:space="preserve">Chapter 14: Carbohydrate metabolism Part I</x:t>
        </x:is>
      </x:c>
      <x:c r="I25" s="15" t="inlineStr">
        <x:is>
          <x:t xml:space="preserve">Glycolysis and Glycogen Synthesis</x:t>
        </x:is>
      </x:c>
      <x:c r="J25" s="15" t="n"/>
      <x:c r="K25" s="15" t="n"/>
      <x:c r="L25" s="15" t="n"/>
      <x:c r="M25" s="15" t="inlineStr">
        <x:is>
          <x:t xml:space="preserve">Chapter 14: Carbohydrate metabolism Part I</x:t>
        </x:is>
      </x:c>
      <x:c r="N25" s="15" t="n"/>
      <x:c r="O25" s="15" t="b">
        <x:v>1</x:v>
      </x:c>
    </x:row>
    <x:row r="26">
      <x:c r="A26" s="15" t="inlineStr">
        <x:is>
          <x:t xml:space="preserve">2025-08-07</x:t>
        </x:is>
      </x:c>
      <x:c r="B26" s="15" t="n">
        <x:v>4</x:v>
      </x:c>
      <x:c r="C26" s="15" t="inlineStr">
        <x:is>
          <x:t xml:space="preserve">Thursday</x:t>
        </x:is>
      </x:c>
      <x:c r="D26" s="15" t="inlineStr">
        <x:is>
          <x:t xml:space="preserve">Lecture</x:t>
        </x:is>
      </x:c>
      <x:c r="E26" s="15" t="inlineStr">
        <x:is>
          <x:t xml:space="preserve">16</x:t>
        </x:is>
      </x:c>
      <x:c r="F26" s="15" t="inlineStr">
        <x:is>
          <x:t xml:space="preserve">How does the citric acid cycle connect carbon flow to energy production?</x:t>
        </x:is>
      </x:c>
      <x:c r="G26" s="15" t="inlineStr">
        <x:is>
          <x:t xml:space="preserve">16.1-16.4</x:t>
        </x:is>
      </x:c>
      <x:c r="H26" s="15" t="inlineStr">
        <x:is>
          <x:t xml:space="preserve">Chapter 16: Pyruvate Oxidation and the Citric Acid Cycle</x:t>
        </x:is>
      </x:c>
      <x:c r="I26" s="15" t="n"/>
      <x:c r="J26" s="15" t="inlineStr">
        <x:is>
          <x:t xml:space="preserve">Adaptive Quiz Ch 14 due 11:59 PM</x:t>
        </x:is>
      </x:c>
      <x:c r="K26" s="15" t="n"/>
      <x:c r="L26" s="15" t="n"/>
      <x:c r="M26" s="15" t="inlineStr">
        <x:is>
          <x:t xml:space="preserve">Chapter 16: Pyruvate Oxidation and the Citric Acid Cycle | Adaptive Quiz Ch 14 due 11:59 PM</x:t>
        </x:is>
      </x:c>
      <x:c r="N26" s="15" t="n"/>
      <x:c r="O26" s="15" t="b">
        <x:v>1</x:v>
      </x:c>
    </x:row>
    <x:row r="27">
      <x:c r="A27" s="15" t="inlineStr">
        <x:is>
          <x:t xml:space="preserve">2025-08-08</x:t>
        </x:is>
      </x:c>
      <x:c r="B27" s="15" t="n">
        <x:v>4</x:v>
      </x:c>
      <x:c r="C27" s="15" t="inlineStr">
        <x:is>
          <x:t xml:space="preserve">Friday</x:t>
        </x:is>
      </x:c>
      <x:c r="D27" s="15" t="inlineStr">
        <x:is>
          <x:t xml:space="preserve">Lecture</x:t>
        </x:is>
      </x:c>
      <x:c r="E27" s="15" t="inlineStr">
        <x:is>
          <x:t xml:space="preserve">19</x:t>
        </x:is>
      </x:c>
      <x:c r="F27" s="15" t="inlineStr">
        <x:is>
          <x:t xml:space="preserve">How do cells convert electron flow into ATP?</x:t>
        </x:is>
      </x:c>
      <x:c r="G27" s="15" t="inlineStr">
        <x:is>
          <x:t xml:space="preserve">19.1-19.3</x:t>
        </x:is>
      </x:c>
      <x:c r="H27" s="15" t="inlineStr">
        <x:is>
          <x:t xml:space="preserve">Chapter 19: Electron Transfer and Oxidative Phosphorylation</x:t>
        </x:is>
      </x:c>
      <x:c r="I27" s="15" t="n"/>
      <x:c r="J27" s="15" t="inlineStr">
        <x:is>
          <x:t xml:space="preserve">Adaptive Quiz Ch 16 due 11:59 PM</x:t>
        </x:is>
      </x:c>
      <x:c r="K27" s="15" t="n"/>
      <x:c r="L27" s="15" t="n"/>
      <x:c r="M27" s="15" t="inlineStr">
        <x:is>
          <x:t xml:space="preserve">Chapter 19: Electron Transfer and Oxidative Phosphorylation | Adaptive Quiz Ch 16 due 11:59 PM</x:t>
        </x:is>
      </x:c>
      <x:c r="N27" s="15" t="n"/>
      <x:c r="O27" s="15" t="b">
        <x:v>1</x:v>
      </x:c>
    </x:row>
    <x:row r="28">
      <x:c r="A28" s="15" t="inlineStr">
        <x:is>
          <x:t xml:space="preserve">2025-08-09</x:t>
        </x:is>
      </x:c>
      <x:c r="B28" s="15" t="n">
        <x:v>4</x:v>
      </x:c>
      <x:c r="C28" s="15" t="inlineStr">
        <x:is>
          <x:t xml:space="preserve">Saturday</x:t>
        </x:is>
      </x:c>
      <x:c r="D28" s="15" t="inlineStr">
        <x:is>
          <x:t xml:space="preserve">Async/Quiz</x:t>
        </x:is>
      </x:c>
      <x:c r="E28" s="15" t="inlineStr">
        <x:is>
          <x:t xml:space="preserve">19</x:t>
        </x:is>
      </x:c>
      <x:c r="F28" s="15" t="inlineStr">
        <x:is>
          <x:t xml:space="preserve">How do cells convert electron flow into ATP?</x:t>
        </x:is>
      </x:c>
      <x:c r="G28" s="15" t="n"/>
      <x:c r="H28" s="15" t="n"/>
      <x:c r="I28" s="15" t="n"/>
      <x:c r="J28" s="15" t="inlineStr">
        <x:is>
          <x:t xml:space="preserve">Adaptive Quiz Ch 19 due 11:59 PM</x:t>
        </x:is>
      </x:c>
      <x:c r="K28" s="15" t="n"/>
      <x:c r="L28" s="15" t="n"/>
      <x:c r="M28" s="15" t="inlineStr">
        <x:is>
          <x:t xml:space="preserve">Adaptive Quiz Ch 19 due 11:59 PM</x:t>
        </x:is>
      </x:c>
      <x:c r="N28" s="15" t="n"/>
      <x:c r="O28" s="15" t="b">
        <x:v>1</x:v>
      </x:c>
    </x:row>
    <x:row r="29">
      <x:c r="A29" s="15" t="inlineStr">
        <x:is>
          <x:t xml:space="preserve">2025-08-10</x:t>
        </x:is>
      </x:c>
      <x:c r="B29" s="15" t="n">
        <x:v>4</x:v>
      </x:c>
      <x:c r="C29" s="15" t="inlineStr">
        <x:is>
          <x:t xml:space="preserve">Sunday</x:t>
        </x:is>
      </x:c>
      <x:c r="D29" s="15" t="inlineStr">
        <x:is>
          <x:t xml:space="preserve">Homework</x:t>
        </x:is>
      </x:c>
      <x:c r="E29" s="15" t="inlineStr">
        <x:is>
          <x:t xml:space="preserve">14,16,19</x:t>
        </x:is>
      </x:c>
      <x:c r="F29" s="15" t="inlineStr">
        <x:is>
          <x:t xml:space="preserve">How do these concepts connect across chapters 14,16,19?</x:t>
        </x:is>
      </x:c>
      <x:c r="G29" s="15" t="n"/>
      <x:c r="H29" s="15" t="n"/>
      <x:c r="I29" s="15" t="n"/>
      <x:c r="J29" s="15" t="n"/>
      <x:c r="K29" s="15" t="inlineStr">
        <x:is>
          <x:t xml:space="preserve">Homework Chapters 14, 16, 19 due 11:59 PM</x:t>
        </x:is>
      </x:c>
      <x:c r="L29" s="15" t="n"/>
      <x:c r="M29" s="15" t="inlineStr">
        <x:is>
          <x:t xml:space="preserve">Homework Chapters 14, 16, 19 due 11:59 PM</x:t>
        </x:is>
      </x:c>
      <x:c r="N29" s="15" t="n"/>
      <x:c r="O29" s="15" t="b">
        <x:v>1</x:v>
      </x:c>
    </x:row>
    <x:row r="30">
      <x:c r="A30" s="15" t="inlineStr">
        <x:is>
          <x:t xml:space="preserve">2025-08-11</x:t>
        </x:is>
      </x:c>
      <x:c r="B30" s="15" t="n">
        <x:v>5</x:v>
      </x:c>
      <x:c r="C30" s="15" t="inlineStr">
        <x:is>
          <x:t xml:space="preserve">Monday</x:t>
        </x:is>
      </x:c>
      <x:c r="D30" s="15" t="inlineStr">
        <x:is>
          <x:t xml:space="preserve">Lecture</x:t>
        </x:is>
      </x:c>
      <x:c r="E30" s="15" t="inlineStr">
        <x:is>
          <x:t xml:space="preserve">9</x:t>
        </x:is>
      </x:c>
      <x:c r="F30" s="15" t="inlineStr">
        <x:is>
          <x:t xml:space="preserve">How is genetic information encoded in nucleic acid structure?</x:t>
        </x:is>
      </x:c>
      <x:c r="G30" s="15" t="inlineStr">
        <x:is>
          <x:t xml:space="preserve">9.1-9.4</x:t>
        </x:is>
      </x:c>
      <x:c r="H30" s="15" t="inlineStr">
        <x:is>
          <x:t xml:space="preserve">Chapter 9: Nucleotides</x:t>
        </x:is>
      </x:c>
      <x:c r="I30" s="15" t="inlineStr">
        <x:is>
          <x:t xml:space="preserve">Nucleic acids and DNA structure</x:t>
        </x:is>
      </x:c>
      <x:c r="J30" s="15" t="n"/>
      <x:c r="K30" s="15" t="n"/>
      <x:c r="L30" s="15" t="n"/>
      <x:c r="M30" s="15" t="inlineStr">
        <x:is>
          <x:t xml:space="preserve">Chapter 9: Nucleotides</x:t>
        </x:is>
      </x:c>
      <x:c r="N30" s="15" t="n"/>
      <x:c r="O30" s="15" t="b">
        <x:v>1</x:v>
      </x:c>
    </x:row>
    <x:row r="31">
      <x:c r="A31" s="15" t="inlineStr">
        <x:is>
          <x:t xml:space="preserve">2025-08-12</x:t>
        </x:is>
      </x:c>
      <x:c r="B31" s="15" t="n">
        <x:v>5</x:v>
      </x:c>
      <x:c r="C31" s="15" t="inlineStr">
        <x:is>
          <x:t xml:space="preserve">Tuesday</x:t>
        </x:is>
      </x:c>
      <x:c r="D31" s="15" t="inlineStr">
        <x:is>
          <x:t xml:space="preserve">Lecture</x:t>
        </x:is>
      </x:c>
      <x:c r="E31" s="15" t="inlineStr">
        <x:is>
          <x:t xml:space="preserve">10</x:t>
        </x:is>
      </x:c>
      <x:c r="F31" s="15" t="inlineStr">
        <x:is>
          <x:t xml:space="preserve">How is genetic information copied and transcribed?</x:t>
        </x:is>
      </x:c>
      <x:c r="G31" s="15" t="inlineStr">
        <x:is>
          <x:t xml:space="preserve">10.1-10.2</x:t>
        </x:is>
      </x:c>
      <x:c r="H31" s="15" t="inlineStr">
        <x:is>
          <x:t xml:space="preserve">Chapter 10: Biological Information Part I</x:t>
        </x:is>
      </x:c>
      <x:c r="I31" s="15" t="inlineStr">
        <x:is>
          <x:t xml:space="preserve">DNA and RNA Metabolism; DNA replication and regulation; RNA Transcription</x:t>
        </x:is>
      </x:c>
      <x:c r="J31" s="15" t="inlineStr">
        <x:is>
          <x:t xml:space="preserve">Adaptive Quiz Ch 9 due 11:59 PM</x:t>
        </x:is>
      </x:c>
      <x:c r="K31" s="15" t="n"/>
      <x:c r="L31" s="15" t="n"/>
      <x:c r="M31" s="15" t="inlineStr">
        <x:is>
          <x:t xml:space="preserve">Chapter 10: Biological Information Part I | Adaptive Quiz Ch 9 due 11:59 PM</x:t>
        </x:is>
      </x:c>
      <x:c r="N31" s="15" t="n"/>
      <x:c r="O31" s="15" t="b">
        <x:v>1</x:v>
      </x:c>
    </x:row>
    <x:row r="32">
      <x:c r="A32" s="15" t="inlineStr">
        <x:is>
          <x:t xml:space="preserve">2025-08-13</x:t>
        </x:is>
      </x:c>
      <x:c r="B32" s="15" t="n">
        <x:v>5</x:v>
      </x:c>
      <x:c r="C32" s="15" t="inlineStr">
        <x:is>
          <x:t xml:space="preserve">Wednesday</x:t>
        </x:is>
      </x:c>
      <x:c r="D32" s="15" t="inlineStr">
        <x:is>
          <x:t xml:space="preserve">Lecture</x:t>
        </x:is>
      </x:c>
      <x:c r="E32" s="15" t="inlineStr">
        <x:is>
          <x:t xml:space="preserve">10</x:t>
        </x:is>
      </x:c>
      <x:c r="F32" s="15" t="inlineStr">
        <x:is>
          <x:t xml:space="preserve">How is genetic information copied and transcribed?</x:t>
        </x:is>
      </x:c>
      <x:c r="G32" s="15" t="inlineStr">
        <x:is>
          <x:t xml:space="preserve">10.3-10.4</x:t>
        </x:is>
      </x:c>
      <x:c r="H32" s="15" t="inlineStr">
        <x:is>
          <x:t xml:space="preserve">Chapter 10: Biological Information Part I</x:t>
        </x:is>
      </x:c>
      <x:c r="I32" s="15" t="inlineStr">
        <x:is>
          <x:t xml:space="preserve">DNA and RNA Metabolism; DNA replication and regulation; RNA Transcription</x:t>
        </x:is>
      </x:c>
      <x:c r="J32" s="15" t="n"/>
      <x:c r="K32" s="15" t="n"/>
      <x:c r="L32" s="15" t="n"/>
      <x:c r="M32" s="15" t="inlineStr">
        <x:is>
          <x:t xml:space="preserve">Chapter 10: Biological Information Part I</x:t>
        </x:is>
      </x:c>
      <x:c r="N32" s="15" t="n"/>
      <x:c r="O32" s="15" t="b">
        <x:v>1</x:v>
      </x:c>
    </x:row>
    <x:row r="33">
      <x:c r="A33" s="15" t="inlineStr">
        <x:is>
          <x:t xml:space="preserve">2025-08-14</x:t>
        </x:is>
      </x:c>
      <x:c r="B33" s="15" t="n">
        <x:v>5</x:v>
      </x:c>
      <x:c r="C33" s="15" t="inlineStr">
        <x:is>
          <x:t xml:space="preserve">Thursday</x:t>
        </x:is>
      </x:c>
      <x:c r="D33" s="15" t="inlineStr">
        <x:is>
          <x:t xml:space="preserve">Lecture</x:t>
        </x:is>
      </x:c>
      <x:c r="E33" s="15" t="inlineStr">
        <x:is>
          <x:t xml:space="preserve">11</x:t>
        </x:is>
      </x:c>
      <x:c r="F33" s="15" t="inlineStr">
        <x:is>
          <x:t xml:space="preserve">How is genetic information translated into protein?</x:t>
        </x:is>
      </x:c>
      <x:c r="G33" s="15" t="inlineStr">
        <x:is>
          <x:t xml:space="preserve">11.1-11.4</x:t>
        </x:is>
      </x:c>
      <x:c r="H33" s="15" t="inlineStr">
        <x:is>
          <x:t xml:space="preserve">Chapter 11: Biological Information Part II</x:t>
        </x:is>
      </x:c>
      <x:c r="I33" s="15" t="inlineStr">
        <x:is>
          <x:t xml:space="preserve">Protein Metabolism; genetic code and protein metabolism</x:t>
        </x:is>
      </x:c>
      <x:c r="J33" s="15" t="inlineStr">
        <x:is>
          <x:t xml:space="preserve">Adaptive Quiz Ch 10 due 11:59 PM</x:t>
        </x:is>
      </x:c>
      <x:c r="K33" s="15" t="n"/>
      <x:c r="L33" s="15" t="n"/>
      <x:c r="M33" s="15" t="inlineStr">
        <x:is>
          <x:t xml:space="preserve">Chapter 11: Biological Information Part II | Adaptive Quiz Ch 10 due 11:59 PM</x:t>
        </x:is>
      </x:c>
      <x:c r="N33" s="15" t="n"/>
      <x:c r="O33" s="15" t="b">
        <x:v>1</x:v>
      </x:c>
    </x:row>
    <x:row r="34">
      <x:c r="A34" s="15" t="inlineStr">
        <x:is>
          <x:t xml:space="preserve">2025-08-15</x:t>
        </x:is>
      </x:c>
      <x:c r="B34" s="15" t="n">
        <x:v>5</x:v>
      </x:c>
      <x:c r="C34" s="15" t="inlineStr">
        <x:is>
          <x:t xml:space="preserve">Friday</x:t>
        </x:is>
      </x:c>
      <x:c r="D34" s="15" t="inlineStr">
        <x:is>
          <x:t xml:space="preserve">Final Exam</x:t>
        </x:is>
      </x:c>
      <x:c r="E34" s="15" t="inlineStr">
        <x:is>
          <x:t xml:space="preserve">Cumulative</x:t>
        </x:is>
      </x:c>
      <x:c r="F34" s="15" t="inlineStr">
        <x:is>
          <x:t xml:space="preserve">How do these concepts connect across chapters Cumulative?</x:t>
        </x:is>
      </x:c>
      <x:c r="G34" s="15" t="n"/>
      <x:c r="H34" s="15" t="inlineStr">
        <x:is>
          <x:t xml:space="preserve">Final Exam</x:t>
        </x:is>
      </x:c>
      <x:c r="I34" s="15" t="inlineStr">
        <x:is>
          <x:t xml:space="preserve">Cumulative</x:t>
        </x:is>
      </x:c>
      <x:c r="J34" s="15" t="n"/>
      <x:c r="K34" s="15" t="inlineStr">
        <x:is>
          <x:t xml:space="preserve">Homework Chapters 9-11 due 11:59 PM</x:t>
        </x:is>
      </x:c>
      <x:c r="L34" s="15" t="inlineStr">
        <x:is>
          <x:t xml:space="preserve">Final Exam cumulative</x:t>
        </x:is>
      </x:c>
      <x:c r="M34" s="15" t="inlineStr">
        <x:is>
          <x:t xml:space="preserve">FINAL EXAM | Final Exam | Homework Chapters 9-11 due 11:59 PM | Final Exam cumulative</x:t>
        </x:is>
      </x:c>
      <x:c r="N34" s="15" t="n"/>
      <x:c r="O34" s="15" t="b">
        <x:v>1</x:v>
      </x:c>
    </x:row>
    <x:row r="35">
      <x:c r="A35" s="15" t="n"/>
      <x:c r="B35" s="15" t="n"/>
      <x:c r="C35" s="15" t="n"/>
      <x:c r="D35" s="15" t="n"/>
      <x:c r="E35" s="15" t="n"/>
      <x:c r="F35" s="15" t="n"/>
      <x:c r="G35" s="15" t="n"/>
      <x:c r="H35" s="15" t="n"/>
      <x:c r="I35" s="15" t="n"/>
      <x:c r="J35" s="15" t="n"/>
      <x:c r="K35" s="15" t="n"/>
      <x:c r="L35" s="15" t="n"/>
      <x:c r="M35" s="15" t="n"/>
      <x:c r="N35" s="15" t="n"/>
      <x:c r="O35" s="15" t="n"/>
    </x:row>
    <x:row r="36">
      <x:c r="A36" s="15" t="n"/>
      <x:c r="B36" s="15" t="n"/>
      <x:c r="C36" s="15" t="n"/>
      <x:c r="D36" s="15" t="n"/>
      <x:c r="E36" s="15" t="n"/>
      <x:c r="F36" s="15" t="n"/>
      <x:c r="G36" s="15" t="n"/>
      <x:c r="H36" s="15" t="n"/>
      <x:c r="I36" s="15" t="n"/>
      <x:c r="J36" s="15" t="n"/>
      <x:c r="K36" s="15" t="n"/>
      <x:c r="L36" s="15" t="n"/>
      <x:c r="M36" s="15" t="n"/>
      <x:c r="N36" s="15" t="n"/>
      <x:c r="O36" s="15" t="n"/>
    </x:row>
    <x:row r="37">
      <x:c r="A37" s="15" t="n"/>
      <x:c r="B37" s="15" t="n"/>
      <x:c r="C37" s="15" t="n"/>
      <x:c r="D37" s="15" t="n"/>
      <x:c r="E37" s="15" t="n"/>
      <x:c r="F37" s="15" t="n"/>
      <x:c r="G37" s="15" t="n"/>
      <x:c r="H37" s="15" t="n"/>
      <x:c r="I37" s="15" t="n"/>
      <x:c r="J37" s="15" t="n"/>
      <x:c r="K37" s="15" t="n"/>
      <x:c r="L37" s="15" t="n"/>
      <x:c r="M37" s="15" t="n"/>
      <x:c r="N37" s="15" t="n"/>
      <x:c r="O37" s="15" t="n"/>
    </x:row>
    <x:row r="38">
      <x:c r="A38" s="15" t="n"/>
      <x:c r="B38" s="15" t="n"/>
      <x:c r="C38" s="15" t="n"/>
      <x:c r="D38" s="15" t="n"/>
      <x:c r="E38" s="15" t="n"/>
      <x:c r="F38" s="15" t="n"/>
      <x:c r="G38" s="15" t="n"/>
      <x:c r="H38" s="15" t="n"/>
      <x:c r="I38" s="15" t="n"/>
      <x:c r="J38" s="15" t="n"/>
      <x:c r="K38" s="15" t="n"/>
      <x:c r="L38" s="15" t="n"/>
      <x:c r="M38" s="15" t="n"/>
      <x:c r="N38" s="15" t="n"/>
      <x:c r="O38" s="15" t="n"/>
    </x:row>
    <x:row r="39">
      <x:c r="A39" s="15" t="n"/>
      <x:c r="B39" s="15" t="n"/>
      <x:c r="C39" s="15" t="n"/>
      <x:c r="D39" s="15" t="n"/>
      <x:c r="E39" s="15" t="n"/>
      <x:c r="F39" s="15" t="n"/>
      <x:c r="G39" s="15" t="n"/>
      <x:c r="H39" s="15" t="n"/>
      <x:c r="I39" s="15" t="n"/>
      <x:c r="J39" s="15" t="n"/>
      <x:c r="K39" s="15" t="n"/>
      <x:c r="L39" s="15" t="n"/>
      <x:c r="M39" s="15" t="n"/>
      <x:c r="N39" s="15" t="n"/>
      <x:c r="O39" s="15" t="n"/>
    </x:row>
    <x:row r="40">
      <x:c r="A40" s="15" t="n"/>
      <x:c r="B40" s="15" t="n"/>
      <x:c r="C40" s="15" t="n"/>
      <x:c r="D40" s="15" t="n"/>
      <x:c r="E40" s="15" t="n"/>
      <x:c r="F40" s="15" t="n"/>
      <x:c r="G40" s="15" t="n"/>
      <x:c r="H40" s="15" t="n"/>
      <x:c r="I40" s="15" t="n"/>
      <x:c r="J40" s="15" t="n"/>
      <x:c r="K40" s="15" t="n"/>
      <x:c r="L40" s="15" t="n"/>
      <x:c r="M40" s="15" t="n"/>
      <x:c r="N40" s="15" t="n"/>
      <x:c r="O40" s="15" t="n"/>
    </x:row>
    <x:row r="41">
      <x:c r="A41" s="15" t="n"/>
      <x:c r="B41" s="15" t="n"/>
      <x:c r="C41" s="15" t="n"/>
      <x:c r="D41" s="15" t="n"/>
      <x:c r="E41" s="15" t="n"/>
      <x:c r="F41" s="15" t="n"/>
      <x:c r="G41" s="15" t="n"/>
      <x:c r="H41" s="15" t="n"/>
      <x:c r="I41" s="15" t="n"/>
      <x:c r="J41" s="15" t="n"/>
      <x:c r="K41" s="15" t="n"/>
      <x:c r="L41" s="15" t="n"/>
      <x:c r="M41" s="15" t="n"/>
      <x:c r="N41" s="15" t="n"/>
      <x:c r="O41" s="15" t="n"/>
    </x:row>
    <x:row r="42">
      <x:c r="A42" s="15" t="n"/>
      <x:c r="B42" s="15" t="n"/>
      <x:c r="C42" s="15" t="n"/>
      <x:c r="D42" s="15" t="n"/>
      <x:c r="E42" s="15" t="n"/>
      <x:c r="F42" s="15" t="n"/>
      <x:c r="G42" s="15" t="n"/>
      <x:c r="H42" s="15" t="n"/>
      <x:c r="I42" s="15" t="n"/>
      <x:c r="J42" s="15" t="n"/>
      <x:c r="K42" s="15" t="n"/>
      <x:c r="L42" s="15" t="n"/>
      <x:c r="M42" s="15" t="n"/>
      <x:c r="N42" s="15" t="n"/>
      <x:c r="O42" s="15" t="n"/>
    </x:row>
    <x:row r="43">
      <x:c r="A43" s="15" t="n"/>
      <x:c r="B43" s="15" t="n"/>
      <x:c r="C43" s="15" t="n"/>
      <x:c r="D43" s="15" t="n"/>
      <x:c r="E43" s="15" t="n"/>
      <x:c r="F43" s="15" t="n"/>
      <x:c r="G43" s="15" t="n"/>
      <x:c r="H43" s="15" t="n"/>
      <x:c r="I43" s="15" t="n"/>
      <x:c r="J43" s="15" t="n"/>
      <x:c r="K43" s="15" t="n"/>
      <x:c r="L43" s="15" t="n"/>
      <x:c r="M43" s="15" t="n"/>
      <x:c r="N43" s="15" t="n"/>
      <x:c r="O43" s="15" t="n"/>
    </x:row>
    <x:row r="44">
      <x:c r="A44" s="15" t="n"/>
      <x:c r="B44" s="15" t="n"/>
      <x:c r="C44" s="15" t="n"/>
      <x:c r="D44" s="15" t="n"/>
      <x:c r="E44" s="15" t="n"/>
      <x:c r="F44" s="15" t="n"/>
      <x:c r="G44" s="15" t="n"/>
      <x:c r="H44" s="15" t="n"/>
      <x:c r="I44" s="15" t="n"/>
      <x:c r="J44" s="15" t="n"/>
      <x:c r="K44" s="15" t="n"/>
      <x:c r="L44" s="15" t="n"/>
      <x:c r="M44" s="15" t="n"/>
      <x:c r="N44" s="15" t="n"/>
      <x:c r="O44" s="15" t="n"/>
    </x:row>
    <x:row r="45">
      <x:c r="A45" s="15" t="n"/>
      <x:c r="B45" s="15" t="n"/>
      <x:c r="C45" s="15" t="n"/>
      <x:c r="D45" s="15" t="n"/>
      <x:c r="E45" s="15" t="n"/>
      <x:c r="F45" s="15" t="n"/>
      <x:c r="G45" s="15" t="n"/>
      <x:c r="H45" s="15" t="n"/>
      <x:c r="I45" s="15" t="n"/>
      <x:c r="J45" s="15" t="n"/>
      <x:c r="K45" s="15" t="n"/>
      <x:c r="L45" s="15" t="n"/>
      <x:c r="M45" s="15" t="n"/>
      <x:c r="N45" s="15" t="n"/>
      <x:c r="O45" s="15" t="n"/>
    </x:row>
    <x:row r="46">
      <x:c r="A46" s="15" t="n"/>
      <x:c r="B46" s="15" t="n"/>
      <x:c r="C46" s="15" t="n"/>
      <x:c r="D46" s="15" t="n"/>
      <x:c r="E46" s="15" t="n"/>
      <x:c r="F46" s="15" t="n"/>
      <x:c r="G46" s="15" t="n"/>
      <x:c r="H46" s="15" t="n"/>
      <x:c r="I46" s="15" t="n"/>
      <x:c r="J46" s="15" t="n"/>
      <x:c r="K46" s="15" t="n"/>
      <x:c r="L46" s="15" t="n"/>
      <x:c r="M46" s="15" t="n"/>
      <x:c r="N46" s="15" t="n"/>
      <x:c r="O46" s="15" t="n"/>
    </x:row>
    <x:row r="47">
      <x:c r="A47" s="15" t="n"/>
      <x:c r="B47" s="15" t="n"/>
      <x:c r="C47" s="15" t="n"/>
      <x:c r="D47" s="15" t="n"/>
      <x:c r="E47" s="15" t="n"/>
      <x:c r="F47" s="15" t="n"/>
      <x:c r="G47" s="15" t="n"/>
      <x:c r="H47" s="15" t="n"/>
      <x:c r="I47" s="15" t="n"/>
      <x:c r="J47" s="15" t="n"/>
      <x:c r="K47" s="15" t="n"/>
      <x:c r="L47" s="15" t="n"/>
      <x:c r="M47" s="15" t="n"/>
      <x:c r="N47" s="15" t="n"/>
      <x:c r="O47" s="15" t="n"/>
    </x:row>
    <x:row r="48">
      <x:c r="A48" s="15" t="n"/>
      <x:c r="B48" s="15" t="n"/>
      <x:c r="C48" s="15" t="n"/>
      <x:c r="D48" s="15" t="n"/>
      <x:c r="E48" s="15" t="n"/>
      <x:c r="F48" s="15" t="n"/>
      <x:c r="G48" s="15" t="n"/>
      <x:c r="H48" s="15" t="n"/>
      <x:c r="I48" s="15" t="n"/>
      <x:c r="J48" s="15" t="n"/>
      <x:c r="K48" s="15" t="n"/>
      <x:c r="L48" s="15" t="n"/>
      <x:c r="M48" s="15" t="n"/>
      <x:c r="N48" s="15" t="n"/>
      <x:c r="O48" s="15" t="n"/>
    </x:row>
    <x:row r="49">
      <x:c r="A49" s="15" t="n"/>
      <x:c r="B49" s="15" t="n"/>
      <x:c r="C49" s="15" t="n"/>
      <x:c r="D49" s="15" t="n"/>
      <x:c r="E49" s="15" t="n"/>
      <x:c r="F49" s="15" t="n"/>
      <x:c r="G49" s="15" t="n"/>
      <x:c r="H49" s="15" t="n"/>
      <x:c r="I49" s="15" t="n"/>
      <x:c r="J49" s="15" t="n"/>
      <x:c r="K49" s="15" t="n"/>
      <x:c r="L49" s="15" t="n"/>
      <x:c r="M49" s="15" t="n"/>
      <x:c r="N49" s="15" t="n"/>
      <x:c r="O49" s="15" t="n"/>
    </x:row>
    <x:row r="50">
      <x:c r="A50" s="15" t="n"/>
      <x:c r="B50" s="15" t="n"/>
      <x:c r="C50" s="15" t="n"/>
      <x:c r="D50" s="15" t="n"/>
      <x:c r="E50" s="15" t="n"/>
      <x:c r="F50" s="15" t="n"/>
      <x:c r="G50" s="15" t="n"/>
      <x:c r="H50" s="15" t="n"/>
      <x:c r="I50" s="15" t="n"/>
      <x:c r="J50" s="15" t="n"/>
      <x:c r="K50" s="15" t="n"/>
      <x:c r="L50" s="15" t="n"/>
      <x:c r="M50" s="15" t="n"/>
      <x:c r="N50" s="15" t="n"/>
      <x:c r="O50" s="15" t="n"/>
    </x:row>
    <x:row r="51">
      <x:c r="A51" s="15" t="n"/>
      <x:c r="B51" s="15" t="n"/>
      <x:c r="C51" s="15" t="n"/>
      <x:c r="D51" s="15" t="n"/>
      <x:c r="E51" s="15" t="n"/>
      <x:c r="F51" s="15" t="n"/>
      <x:c r="G51" s="15" t="n"/>
      <x:c r="H51" s="15" t="n"/>
      <x:c r="I51" s="15" t="n"/>
      <x:c r="J51" s="15" t="n"/>
      <x:c r="K51" s="15" t="n"/>
      <x:c r="L51" s="15" t="n"/>
      <x:c r="M51" s="15" t="n"/>
      <x:c r="N51" s="15" t="n"/>
      <x:c r="O51" s="15" t="n"/>
    </x:row>
    <x:row r="52">
      <x:c r="A52" s="15" t="n"/>
      <x:c r="B52" s="15" t="n"/>
      <x:c r="C52" s="15" t="n"/>
      <x:c r="D52" s="15" t="n"/>
      <x:c r="E52" s="15" t="n"/>
      <x:c r="F52" s="15" t="n"/>
      <x:c r="G52" s="15" t="n"/>
      <x:c r="H52" s="15" t="n"/>
      <x:c r="I52" s="15" t="n"/>
      <x:c r="J52" s="15" t="n"/>
      <x:c r="K52" s="15" t="n"/>
      <x:c r="L52" s="15" t="n"/>
      <x:c r="M52" s="15" t="n"/>
      <x:c r="N52" s="15" t="n"/>
      <x:c r="O52" s="15" t="n"/>
    </x:row>
    <x:row r="53">
      <x:c r="A53" s="15" t="n"/>
      <x:c r="B53" s="15" t="n"/>
      <x:c r="C53" s="15" t="n"/>
      <x:c r="D53" s="15" t="n"/>
      <x:c r="E53" s="15" t="n"/>
      <x:c r="F53" s="15" t="n"/>
      <x:c r="G53" s="15" t="n"/>
      <x:c r="H53" s="15" t="n"/>
      <x:c r="I53" s="15" t="n"/>
      <x:c r="J53" s="15" t="n"/>
      <x:c r="K53" s="15" t="n"/>
      <x:c r="L53" s="15" t="n"/>
      <x:c r="M53" s="15" t="n"/>
      <x:c r="N53" s="15" t="n"/>
      <x:c r="O53" s="15" t="n"/>
    </x:row>
    <x:row r="54">
      <x:c r="A54" s="15" t="n"/>
      <x:c r="B54" s="15" t="n"/>
      <x:c r="C54" s="15" t="n"/>
      <x:c r="D54" s="15" t="n"/>
      <x:c r="E54" s="15" t="n"/>
      <x:c r="F54" s="15" t="n"/>
      <x:c r="G54" s="15" t="n"/>
      <x:c r="H54" s="15" t="n"/>
      <x:c r="I54" s="15" t="n"/>
      <x:c r="J54" s="15" t="n"/>
      <x:c r="K54" s="15" t="n"/>
      <x:c r="L54" s="15" t="n"/>
      <x:c r="M54" s="15" t="n"/>
      <x:c r="N54" s="15" t="n"/>
      <x:c r="O54" s="15" t="n"/>
    </x:row>
    <x:row r="55">
      <x:c r="A55" s="15" t="n"/>
      <x:c r="B55" s="15" t="n"/>
      <x:c r="C55" s="15" t="n"/>
      <x:c r="D55" s="15" t="n"/>
      <x:c r="E55" s="15" t="n"/>
      <x:c r="F55" s="15" t="n"/>
      <x:c r="G55" s="15" t="n"/>
      <x:c r="H55" s="15" t="n"/>
      <x:c r="I55" s="15" t="n"/>
      <x:c r="J55" s="15" t="n"/>
      <x:c r="K55" s="15" t="n"/>
      <x:c r="L55" s="15" t="n"/>
      <x:c r="M55" s="15" t="n"/>
      <x:c r="N55" s="15" t="n"/>
      <x:c r="O55" s="15" t="n"/>
    </x:row>
    <x:row r="56">
      <x:c r="A56" s="15" t="n"/>
      <x:c r="B56" s="15" t="n"/>
      <x:c r="C56" s="15" t="n"/>
      <x:c r="D56" s="15" t="n"/>
      <x:c r="E56" s="15" t="n"/>
      <x:c r="F56" s="15" t="n"/>
      <x:c r="G56" s="15" t="n"/>
      <x:c r="H56" s="15" t="n"/>
      <x:c r="I56" s="15" t="n"/>
      <x:c r="J56" s="15" t="n"/>
      <x:c r="K56" s="15" t="n"/>
      <x:c r="L56" s="15" t="n"/>
      <x:c r="M56" s="15" t="n"/>
      <x:c r="N56" s="15" t="n"/>
      <x:c r="O56" s="15" t="n"/>
    </x:row>
    <x:row r="57">
      <x:c r="A57" s="15" t="n"/>
      <x:c r="B57" s="15" t="n"/>
      <x:c r="C57" s="15" t="n"/>
      <x:c r="D57" s="15" t="n"/>
      <x:c r="E57" s="15" t="n"/>
      <x:c r="F57" s="15" t="n"/>
      <x:c r="G57" s="15" t="n"/>
      <x:c r="H57" s="15" t="n"/>
      <x:c r="I57" s="15" t="n"/>
      <x:c r="J57" s="15" t="n"/>
      <x:c r="K57" s="15" t="n"/>
      <x:c r="L57" s="15" t="n"/>
      <x:c r="M57" s="15" t="n"/>
      <x:c r="N57" s="15" t="n"/>
      <x:c r="O57" s="15" t="n"/>
    </x:row>
    <x:row r="58">
      <x:c r="A58" s="15" t="n"/>
      <x:c r="B58" s="15" t="n"/>
      <x:c r="C58" s="15" t="n"/>
      <x:c r="D58" s="15" t="n"/>
      <x:c r="E58" s="15" t="n"/>
      <x:c r="F58" s="15" t="n"/>
      <x:c r="G58" s="15" t="n"/>
      <x:c r="H58" s="15" t="n"/>
      <x:c r="I58" s="15" t="n"/>
      <x:c r="J58" s="15" t="n"/>
      <x:c r="K58" s="15" t="n"/>
      <x:c r="L58" s="15" t="n"/>
      <x:c r="M58" s="15" t="n"/>
      <x:c r="N58" s="15" t="n"/>
      <x:c r="O58" s="15" t="n"/>
    </x:row>
    <x:row r="59">
      <x:c r="A59" s="15" t="n"/>
      <x:c r="B59" s="15" t="n"/>
      <x:c r="C59" s="15" t="n"/>
      <x:c r="D59" s="15" t="n"/>
      <x:c r="E59" s="15" t="n"/>
      <x:c r="F59" s="15" t="n"/>
      <x:c r="G59" s="15" t="n"/>
      <x:c r="H59" s="15" t="n"/>
      <x:c r="I59" s="15" t="n"/>
      <x:c r="J59" s="15" t="n"/>
      <x:c r="K59" s="15" t="n"/>
      <x:c r="L59" s="15" t="n"/>
      <x:c r="M59" s="15" t="n"/>
      <x:c r="N59" s="15" t="n"/>
      <x:c r="O59" s="15" t="n"/>
    </x:row>
    <x:row r="60">
      <x:c r="A60" s="15" t="n"/>
      <x:c r="B60" s="15" t="n"/>
      <x:c r="C60" s="15" t="n"/>
      <x:c r="D60" s="15" t="n"/>
      <x:c r="E60" s="15" t="n"/>
      <x:c r="F60" s="15" t="n"/>
      <x:c r="G60" s="15" t="n"/>
      <x:c r="H60" s="15" t="n"/>
      <x:c r="I60" s="15" t="n"/>
      <x:c r="J60" s="15" t="n"/>
      <x:c r="K60" s="15" t="n"/>
      <x:c r="L60" s="15" t="n"/>
      <x:c r="M60" s="15" t="n"/>
      <x:c r="N60" s="15" t="n"/>
      <x:c r="O60" s="15" t="n"/>
    </x:row>
    <x:row r="61">
      <x:c r="A61" s="15" t="n"/>
      <x:c r="B61" s="15" t="n"/>
      <x:c r="C61" s="15" t="n"/>
      <x:c r="D61" s="15" t="n"/>
      <x:c r="E61" s="15" t="n"/>
      <x:c r="F61" s="15" t="n"/>
      <x:c r="G61" s="15" t="n"/>
      <x:c r="H61" s="15" t="n"/>
      <x:c r="I61" s="15" t="n"/>
      <x:c r="J61" s="15" t="n"/>
      <x:c r="K61" s="15" t="n"/>
      <x:c r="L61" s="15" t="n"/>
      <x:c r="M61" s="15" t="n"/>
      <x:c r="N61" s="15" t="n"/>
      <x:c r="O61" s="15" t="n"/>
    </x:row>
    <x:row r="62">
      <x:c r="A62" s="15" t="n"/>
      <x:c r="B62" s="15" t="n"/>
      <x:c r="C62" s="15" t="n"/>
      <x:c r="D62" s="15" t="n"/>
      <x:c r="E62" s="15" t="n"/>
      <x:c r="F62" s="15" t="n"/>
      <x:c r="G62" s="15" t="n"/>
      <x:c r="H62" s="15" t="n"/>
      <x:c r="I62" s="15" t="n"/>
      <x:c r="J62" s="15" t="n"/>
      <x:c r="K62" s="15" t="n"/>
      <x:c r="L62" s="15" t="n"/>
      <x:c r="M62" s="15" t="n"/>
      <x:c r="N62" s="15" t="n"/>
      <x:c r="O62" s="15" t="n"/>
    </x:row>
    <x:row r="63">
      <x:c r="A63" s="15" t="n"/>
      <x:c r="B63" s="15" t="n"/>
      <x:c r="C63" s="15" t="n"/>
      <x:c r="D63" s="15" t="n"/>
      <x:c r="E63" s="15" t="n"/>
      <x:c r="F63" s="15" t="n"/>
      <x:c r="G63" s="15" t="n"/>
      <x:c r="H63" s="15" t="n"/>
      <x:c r="I63" s="15" t="n"/>
      <x:c r="J63" s="15" t="n"/>
      <x:c r="K63" s="15" t="n"/>
      <x:c r="L63" s="15" t="n"/>
      <x:c r="M63" s="15" t="n"/>
      <x:c r="N63" s="15" t="n"/>
      <x:c r="O63" s="15" t="n"/>
    </x:row>
    <x:row r="64">
      <x:c r="A64" s="15" t="n"/>
      <x:c r="B64" s="15" t="n"/>
      <x:c r="C64" s="15" t="n"/>
      <x:c r="D64" s="15" t="n"/>
      <x:c r="E64" s="15" t="n"/>
      <x:c r="F64" s="15" t="n"/>
      <x:c r="G64" s="15" t="n"/>
      <x:c r="H64" s="15" t="n"/>
      <x:c r="I64" s="15" t="n"/>
      <x:c r="J64" s="15" t="n"/>
      <x:c r="K64" s="15" t="n"/>
      <x:c r="L64" s="15" t="n"/>
      <x:c r="M64" s="15" t="n"/>
      <x:c r="N64" s="15" t="n"/>
      <x:c r="O64" s="15" t="n"/>
    </x:row>
    <x:row r="65">
      <x:c r="A65" s="15" t="n"/>
      <x:c r="B65" s="15" t="n"/>
      <x:c r="C65" s="15" t="n"/>
      <x:c r="D65" s="15" t="n"/>
      <x:c r="E65" s="15" t="n"/>
      <x:c r="F65" s="15" t="n"/>
      <x:c r="G65" s="15" t="n"/>
      <x:c r="H65" s="15" t="n"/>
      <x:c r="I65" s="15" t="n"/>
      <x:c r="J65" s="15" t="n"/>
      <x:c r="K65" s="15" t="n"/>
      <x:c r="L65" s="15" t="n"/>
      <x:c r="M65" s="15" t="n"/>
      <x:c r="N65" s="15" t="n"/>
      <x:c r="O65" s="15" t="n"/>
    </x:row>
    <x:row r="66">
      <x:c r="A66" s="15" t="n"/>
      <x:c r="B66" s="15" t="n"/>
      <x:c r="C66" s="15" t="n"/>
      <x:c r="D66" s="15" t="n"/>
      <x:c r="E66" s="15" t="n"/>
      <x:c r="F66" s="15" t="n"/>
      <x:c r="G66" s="15" t="n"/>
      <x:c r="H66" s="15" t="n"/>
      <x:c r="I66" s="15" t="n"/>
      <x:c r="J66" s="15" t="n"/>
      <x:c r="K66" s="15" t="n"/>
      <x:c r="L66" s="15" t="n"/>
      <x:c r="M66" s="15" t="n"/>
      <x:c r="N66" s="15" t="n"/>
      <x:c r="O66" s="15" t="n"/>
    </x:row>
    <x:row r="67">
      <x:c r="A67" s="15" t="n"/>
      <x:c r="B67" s="15" t="n"/>
      <x:c r="C67" s="15" t="n"/>
      <x:c r="D67" s="15" t="n"/>
      <x:c r="E67" s="15" t="n"/>
      <x:c r="F67" s="15" t="n"/>
      <x:c r="G67" s="15" t="n"/>
      <x:c r="H67" s="15" t="n"/>
      <x:c r="I67" s="15" t="n"/>
      <x:c r="J67" s="15" t="n"/>
      <x:c r="K67" s="15" t="n"/>
      <x:c r="L67" s="15" t="n"/>
      <x:c r="M67" s="15" t="n"/>
      <x:c r="N67" s="15" t="n"/>
      <x:c r="O67" s="15" t="n"/>
    </x:row>
    <x:row r="68">
      <x:c r="A68" s="15" t="n"/>
      <x:c r="B68" s="15" t="n"/>
      <x:c r="C68" s="15" t="n"/>
      <x:c r="D68" s="15" t="n"/>
      <x:c r="E68" s="15" t="n"/>
      <x:c r="F68" s="15" t="n"/>
      <x:c r="G68" s="15" t="n"/>
      <x:c r="H68" s="15" t="n"/>
      <x:c r="I68" s="15" t="n"/>
      <x:c r="J68" s="15" t="n"/>
      <x:c r="K68" s="15" t="n"/>
      <x:c r="L68" s="15" t="n"/>
      <x:c r="M68" s="15" t="n"/>
      <x:c r="N68" s="15" t="n"/>
      <x:c r="O68" s="15" t="n"/>
    </x:row>
    <x:row r="69">
      <x:c r="A69" s="15" t="n"/>
      <x:c r="B69" s="15" t="n"/>
      <x:c r="C69" s="15" t="n"/>
      <x:c r="D69" s="15" t="n"/>
      <x:c r="E69" s="15" t="n"/>
      <x:c r="F69" s="15" t="n"/>
      <x:c r="G69" s="15" t="n"/>
      <x:c r="H69" s="15" t="n"/>
      <x:c r="I69" s="15" t="n"/>
      <x:c r="J69" s="15" t="n"/>
      <x:c r="K69" s="15" t="n"/>
      <x:c r="L69" s="15" t="n"/>
      <x:c r="M69" s="15" t="n"/>
      <x:c r="N69" s="15" t="n"/>
      <x:c r="O69" s="15" t="n"/>
    </x:row>
    <x:row r="70">
      <x:c r="A70" s="15" t="n"/>
      <x:c r="B70" s="15" t="n"/>
      <x:c r="C70" s="15" t="n"/>
      <x:c r="D70" s="15" t="n"/>
      <x:c r="E70" s="15" t="n"/>
      <x:c r="F70" s="15" t="n"/>
      <x:c r="G70" s="15" t="n"/>
      <x:c r="H70" s="15" t="n"/>
      <x:c r="I70" s="15" t="n"/>
      <x:c r="J70" s="15" t="n"/>
      <x:c r="K70" s="15" t="n"/>
      <x:c r="L70" s="15" t="n"/>
      <x:c r="M70" s="15" t="n"/>
      <x:c r="N70" s="15" t="n"/>
      <x:c r="O70" s="15" t="n"/>
    </x:row>
    <x:row r="71">
      <x:c r="A71" s="15" t="n"/>
      <x:c r="B71" s="15" t="n"/>
      <x:c r="C71" s="15" t="n"/>
      <x:c r="D71" s="15" t="n"/>
      <x:c r="E71" s="15" t="n"/>
      <x:c r="F71" s="15" t="n"/>
      <x:c r="G71" s="15" t="n"/>
      <x:c r="H71" s="15" t="n"/>
      <x:c r="I71" s="15" t="n"/>
      <x:c r="J71" s="15" t="n"/>
      <x:c r="K71" s="15" t="n"/>
      <x:c r="L71" s="15" t="n"/>
      <x:c r="M71" s="15" t="n"/>
      <x:c r="N71" s="15" t="n"/>
      <x:c r="O71" s="15" t="n"/>
    </x:row>
    <x:row r="72">
      <x:c r="A72" s="15" t="n"/>
      <x:c r="B72" s="15" t="n"/>
      <x:c r="C72" s="15" t="n"/>
      <x:c r="D72" s="15" t="n"/>
      <x:c r="E72" s="15" t="n"/>
      <x:c r="F72" s="15" t="n"/>
      <x:c r="G72" s="15" t="n"/>
      <x:c r="H72" s="15" t="n"/>
      <x:c r="I72" s="15" t="n"/>
      <x:c r="J72" s="15" t="n"/>
      <x:c r="K72" s="15" t="n"/>
      <x:c r="L72" s="15" t="n"/>
      <x:c r="M72" s="15" t="n"/>
      <x:c r="N72" s="15" t="n"/>
      <x:c r="O72" s="15" t="n"/>
    </x:row>
    <x:row r="73">
      <x:c r="A73" s="15" t="n"/>
      <x:c r="B73" s="15" t="n"/>
      <x:c r="C73" s="15" t="n"/>
      <x:c r="D73" s="15" t="n"/>
      <x:c r="E73" s="15" t="n"/>
      <x:c r="F73" s="15" t="n"/>
      <x:c r="G73" s="15" t="n"/>
      <x:c r="H73" s="15" t="n"/>
      <x:c r="I73" s="15" t="n"/>
      <x:c r="J73" s="15" t="n"/>
      <x:c r="K73" s="15" t="n"/>
      <x:c r="L73" s="15" t="n"/>
      <x:c r="M73" s="15" t="n"/>
      <x:c r="N73" s="15" t="n"/>
      <x:c r="O73" s="15" t="n"/>
    </x:row>
    <x:row r="74">
      <x:c r="A74" s="15" t="n"/>
      <x:c r="B74" s="15" t="n"/>
      <x:c r="C74" s="15" t="n"/>
      <x:c r="D74" s="15" t="n"/>
      <x:c r="E74" s="15" t="n"/>
      <x:c r="F74" s="15" t="n"/>
      <x:c r="G74" s="15" t="n"/>
      <x:c r="H74" s="15" t="n"/>
      <x:c r="I74" s="15" t="n"/>
      <x:c r="J74" s="15" t="n"/>
      <x:c r="K74" s="15" t="n"/>
      <x:c r="L74" s="15" t="n"/>
      <x:c r="M74" s="15" t="n"/>
      <x:c r="N74" s="15" t="n"/>
      <x:c r="O74" s="15" t="n"/>
    </x:row>
    <x:row r="75">
      <x:c r="A75" s="15" t="n"/>
      <x:c r="B75" s="15" t="n"/>
      <x:c r="C75" s="15" t="n"/>
      <x:c r="D75" s="15" t="n"/>
      <x:c r="E75" s="15" t="n"/>
      <x:c r="F75" s="15" t="n"/>
      <x:c r="G75" s="15" t="n"/>
      <x:c r="H75" s="15" t="n"/>
      <x:c r="I75" s="15" t="n"/>
      <x:c r="J75" s="15" t="n"/>
      <x:c r="K75" s="15" t="n"/>
      <x:c r="L75" s="15" t="n"/>
      <x:c r="M75" s="15" t="n"/>
      <x:c r="N75" s="15" t="n"/>
      <x:c r="O75" s="15" t="n"/>
    </x:row>
    <x:row r="76">
      <x:c r="A76" s="15" t="n"/>
      <x:c r="B76" s="15" t="n"/>
      <x:c r="C76" s="15" t="n"/>
      <x:c r="D76" s="15" t="n"/>
      <x:c r="E76" s="15" t="n"/>
      <x:c r="F76" s="15" t="n"/>
      <x:c r="G76" s="15" t="n"/>
      <x:c r="H76" s="15" t="n"/>
      <x:c r="I76" s="15" t="n"/>
      <x:c r="J76" s="15" t="n"/>
      <x:c r="K76" s="15" t="n"/>
      <x:c r="L76" s="15" t="n"/>
      <x:c r="M76" s="15" t="n"/>
      <x:c r="N76" s="15" t="n"/>
      <x:c r="O76" s="15" t="n"/>
    </x:row>
    <x:row r="77">
      <x:c r="A77" s="15" t="n"/>
      <x:c r="B77" s="15" t="n"/>
      <x:c r="C77" s="15" t="n"/>
      <x:c r="D77" s="15" t="n"/>
      <x:c r="E77" s="15" t="n"/>
      <x:c r="F77" s="15" t="n"/>
      <x:c r="G77" s="15" t="n"/>
      <x:c r="H77" s="15" t="n"/>
      <x:c r="I77" s="15" t="n"/>
      <x:c r="J77" s="15" t="n"/>
      <x:c r="K77" s="15" t="n"/>
      <x:c r="L77" s="15" t="n"/>
      <x:c r="M77" s="15" t="n"/>
      <x:c r="N77" s="15" t="n"/>
      <x:c r="O77" s="15" t="n"/>
    </x:row>
    <x:row r="78">
      <x:c r="A78" s="15" t="n"/>
      <x:c r="B78" s="15" t="n"/>
      <x:c r="C78" s="15" t="n"/>
      <x:c r="D78" s="15" t="n"/>
      <x:c r="E78" s="15" t="n"/>
      <x:c r="F78" s="15" t="n"/>
      <x:c r="G78" s="15" t="n"/>
      <x:c r="H78" s="15" t="n"/>
      <x:c r="I78" s="15" t="n"/>
      <x:c r="J78" s="15" t="n"/>
      <x:c r="K78" s="15" t="n"/>
      <x:c r="L78" s="15" t="n"/>
      <x:c r="M78" s="15" t="n"/>
      <x:c r="N78" s="15" t="n"/>
      <x:c r="O78" s="15" t="n"/>
    </x:row>
    <x:row r="79">
      <x:c r="A79" s="15" t="n"/>
      <x:c r="B79" s="15" t="n"/>
      <x:c r="C79" s="15" t="n"/>
      <x:c r="D79" s="15" t="n"/>
      <x:c r="E79" s="15" t="n"/>
      <x:c r="F79" s="15" t="n"/>
      <x:c r="G79" s="15" t="n"/>
      <x:c r="H79" s="15" t="n"/>
      <x:c r="I79" s="15" t="n"/>
      <x:c r="J79" s="15" t="n"/>
      <x:c r="K79" s="15" t="n"/>
      <x:c r="L79" s="15" t="n"/>
      <x:c r="M79" s="15" t="n"/>
      <x:c r="N79" s="15" t="n"/>
      <x:c r="O79" s="15" t="n"/>
    </x:row>
    <x:row r="80">
      <x:c r="A80" s="15" t="n"/>
      <x:c r="B80" s="15" t="n"/>
      <x:c r="C80" s="15" t="n"/>
      <x:c r="D80" s="15" t="n"/>
      <x:c r="E80" s="15" t="n"/>
      <x:c r="F80" s="15" t="n"/>
      <x:c r="G80" s="15" t="n"/>
      <x:c r="H80" s="15" t="n"/>
      <x:c r="I80" s="15" t="n"/>
      <x:c r="J80" s="15" t="n"/>
      <x:c r="K80" s="15" t="n"/>
      <x:c r="L80" s="15" t="n"/>
      <x:c r="M80" s="15" t="n"/>
      <x:c r="N80" s="15" t="n"/>
      <x:c r="O80" s="15" t="n"/>
    </x:row>
    <x:row r="81">
      <x:c r="A81" s="15" t="n"/>
      <x:c r="B81" s="15" t="n"/>
      <x:c r="C81" s="15" t="n"/>
      <x:c r="D81" s="15" t="n"/>
      <x:c r="E81" s="15" t="n"/>
      <x:c r="F81" s="15" t="n"/>
      <x:c r="G81" s="15" t="n"/>
      <x:c r="H81" s="15" t="n"/>
      <x:c r="I81" s="15" t="n"/>
      <x:c r="J81" s="15" t="n"/>
      <x:c r="K81" s="15" t="n"/>
      <x:c r="L81" s="15" t="n"/>
      <x:c r="M81" s="15" t="n"/>
      <x:c r="N81" s="15" t="n"/>
      <x:c r="O81" s="15" t="n"/>
    </x:row>
    <x:row r="82">
      <x:c r="A82" s="15" t="n"/>
      <x:c r="B82" s="15" t="n"/>
      <x:c r="C82" s="15" t="n"/>
      <x:c r="D82" s="15" t="n"/>
      <x:c r="E82" s="15" t="n"/>
      <x:c r="F82" s="15" t="n"/>
      <x:c r="G82" s="15" t="n"/>
      <x:c r="H82" s="15" t="n"/>
      <x:c r="I82" s="15" t="n"/>
      <x:c r="J82" s="15" t="n"/>
      <x:c r="K82" s="15" t="n"/>
      <x:c r="L82" s="15" t="n"/>
      <x:c r="M82" s="15" t="n"/>
      <x:c r="N82" s="15" t="n"/>
      <x:c r="O82" s="15" t="n"/>
    </x:row>
    <x:row r="83">
      <x:c r="A83" s="15" t="n"/>
      <x:c r="B83" s="15" t="n"/>
      <x:c r="C83" s="15" t="n"/>
      <x:c r="D83" s="15" t="n"/>
      <x:c r="E83" s="15" t="n"/>
      <x:c r="F83" s="15" t="n"/>
      <x:c r="G83" s="15" t="n"/>
      <x:c r="H83" s="15" t="n"/>
      <x:c r="I83" s="15" t="n"/>
      <x:c r="J83" s="15" t="n"/>
      <x:c r="K83" s="15" t="n"/>
      <x:c r="L83" s="15" t="n"/>
      <x:c r="M83" s="15" t="n"/>
      <x:c r="N83" s="15" t="n"/>
      <x:c r="O83" s="15" t="n"/>
    </x:row>
    <x:row r="84">
      <x:c r="A84" s="15" t="n"/>
      <x:c r="B84" s="15" t="n"/>
      <x:c r="C84" s="15" t="n"/>
      <x:c r="D84" s="15" t="n"/>
      <x:c r="E84" s="15" t="n"/>
      <x:c r="F84" s="15" t="n"/>
      <x:c r="G84" s="15" t="n"/>
      <x:c r="H84" s="15" t="n"/>
      <x:c r="I84" s="15" t="n"/>
      <x:c r="J84" s="15" t="n"/>
      <x:c r="K84" s="15" t="n"/>
      <x:c r="L84" s="15" t="n"/>
      <x:c r="M84" s="15" t="n"/>
      <x:c r="N84" s="15" t="n"/>
      <x:c r="O84" s="15" t="n"/>
    </x:row>
    <x:row r="85">
      <x:c r="A85" s="15" t="n"/>
      <x:c r="B85" s="15" t="n"/>
      <x:c r="C85" s="15" t="n"/>
      <x:c r="D85" s="15" t="n"/>
      <x:c r="E85" s="15" t="n"/>
      <x:c r="F85" s="15" t="n"/>
      <x:c r="G85" s="15" t="n"/>
      <x:c r="H85" s="15" t="n"/>
      <x:c r="I85" s="15" t="n"/>
      <x:c r="J85" s="15" t="n"/>
      <x:c r="K85" s="15" t="n"/>
      <x:c r="L85" s="15" t="n"/>
      <x:c r="M85" s="15" t="n"/>
      <x:c r="N85" s="15" t="n"/>
      <x:c r="O85" s="15" t="n"/>
    </x:row>
    <x:row r="86">
      <x:c r="A86" s="15" t="n"/>
      <x:c r="B86" s="15" t="n"/>
      <x:c r="C86" s="15" t="n"/>
      <x:c r="D86" s="15" t="n"/>
      <x:c r="E86" s="15" t="n"/>
      <x:c r="F86" s="15" t="n"/>
      <x:c r="G86" s="15" t="n"/>
      <x:c r="H86" s="15" t="n"/>
      <x:c r="I86" s="15" t="n"/>
      <x:c r="J86" s="15" t="n"/>
      <x:c r="K86" s="15" t="n"/>
      <x:c r="L86" s="15" t="n"/>
      <x:c r="M86" s="15" t="n"/>
      <x:c r="N86" s="15" t="n"/>
      <x:c r="O86" s="15" t="n"/>
    </x:row>
    <x:row r="87">
      <x:c r="A87" s="15" t="n"/>
      <x:c r="B87" s="15" t="n"/>
      <x:c r="C87" s="15" t="n"/>
      <x:c r="D87" s="15" t="n"/>
      <x:c r="E87" s="15" t="n"/>
      <x:c r="F87" s="15" t="n"/>
      <x:c r="G87" s="15" t="n"/>
      <x:c r="H87" s="15" t="n"/>
      <x:c r="I87" s="15" t="n"/>
      <x:c r="J87" s="15" t="n"/>
      <x:c r="K87" s="15" t="n"/>
      <x:c r="L87" s="15" t="n"/>
      <x:c r="M87" s="15" t="n"/>
      <x:c r="N87" s="15" t="n"/>
      <x:c r="O87" s="15" t="n"/>
    </x:row>
    <x:row r="88">
      <x:c r="A88" s="15" t="n"/>
      <x:c r="B88" s="15" t="n"/>
      <x:c r="C88" s="15" t="n"/>
      <x:c r="D88" s="15" t="n"/>
      <x:c r="E88" s="15" t="n"/>
      <x:c r="F88" s="15" t="n"/>
      <x:c r="G88" s="15" t="n"/>
      <x:c r="H88" s="15" t="n"/>
      <x:c r="I88" s="15" t="n"/>
      <x:c r="J88" s="15" t="n"/>
      <x:c r="K88" s="15" t="n"/>
      <x:c r="L88" s="15" t="n"/>
      <x:c r="M88" s="15" t="n"/>
      <x:c r="N88" s="15" t="n"/>
      <x:c r="O88" s="15" t="n"/>
    </x:row>
    <x:row r="89">
      <x:c r="A89" s="15" t="n"/>
      <x:c r="B89" s="15" t="n"/>
      <x:c r="C89" s="15" t="n"/>
      <x:c r="D89" s="15" t="n"/>
      <x:c r="E89" s="15" t="n"/>
      <x:c r="F89" s="15" t="n"/>
      <x:c r="G89" s="15" t="n"/>
      <x:c r="H89" s="15" t="n"/>
      <x:c r="I89" s="15" t="n"/>
      <x:c r="J89" s="15" t="n"/>
      <x:c r="K89" s="15" t="n"/>
      <x:c r="L89" s="15" t="n"/>
      <x:c r="M89" s="15" t="n"/>
      <x:c r="N89" s="15" t="n"/>
      <x:c r="O89" s="15" t="n"/>
    </x:row>
    <x:row r="90">
      <x:c r="A90" s="15" t="n"/>
      <x:c r="B90" s="15" t="n"/>
      <x:c r="C90" s="15" t="n"/>
      <x:c r="D90" s="15" t="n"/>
      <x:c r="E90" s="15" t="n"/>
      <x:c r="F90" s="15" t="n"/>
      <x:c r="G90" s="15" t="n"/>
      <x:c r="H90" s="15" t="n"/>
      <x:c r="I90" s="15" t="n"/>
      <x:c r="J90" s="15" t="n"/>
      <x:c r="K90" s="15" t="n"/>
      <x:c r="L90" s="15" t="n"/>
      <x:c r="M90" s="15" t="n"/>
      <x:c r="N90" s="15" t="n"/>
      <x:c r="O90" s="15" t="n"/>
    </x:row>
    <x:row r="91">
      <x:c r="A91" s="15" t="n"/>
      <x:c r="B91" s="15" t="n"/>
      <x:c r="C91" s="15" t="n"/>
      <x:c r="D91" s="15" t="n"/>
      <x:c r="E91" s="15" t="n"/>
      <x:c r="F91" s="15" t="n"/>
      <x:c r="G91" s="15" t="n"/>
      <x:c r="H91" s="15" t="n"/>
      <x:c r="I91" s="15" t="n"/>
      <x:c r="J91" s="15" t="n"/>
      <x:c r="K91" s="15" t="n"/>
      <x:c r="L91" s="15" t="n"/>
      <x:c r="M91" s="15" t="n"/>
      <x:c r="N91" s="15" t="n"/>
      <x:c r="O91" s="15" t="n"/>
    </x:row>
    <x:row r="92">
      <x:c r="A92" s="15" t="n"/>
      <x:c r="B92" s="15" t="n"/>
      <x:c r="C92" s="15" t="n"/>
      <x:c r="D92" s="15" t="n"/>
      <x:c r="E92" s="15" t="n"/>
      <x:c r="F92" s="15" t="n"/>
      <x:c r="G92" s="15" t="n"/>
      <x:c r="H92" s="15" t="n"/>
      <x:c r="I92" s="15" t="n"/>
      <x:c r="J92" s="15" t="n"/>
      <x:c r="K92" s="15" t="n"/>
      <x:c r="L92" s="15" t="n"/>
      <x:c r="M92" s="15" t="n"/>
      <x:c r="N92" s="15" t="n"/>
      <x:c r="O92" s="15" t="n"/>
    </x:row>
    <x:row r="93">
      <x:c r="A93" s="15" t="n"/>
      <x:c r="B93" s="15" t="n"/>
      <x:c r="C93" s="15" t="n"/>
      <x:c r="D93" s="15" t="n"/>
      <x:c r="E93" s="15" t="n"/>
      <x:c r="F93" s="15" t="n"/>
      <x:c r="G93" s="15" t="n"/>
      <x:c r="H93" s="15" t="n"/>
      <x:c r="I93" s="15" t="n"/>
      <x:c r="J93" s="15" t="n"/>
      <x:c r="K93" s="15" t="n"/>
      <x:c r="L93" s="15" t="n"/>
      <x:c r="M93" s="15" t="n"/>
      <x:c r="N93" s="15" t="n"/>
      <x:c r="O93" s="15" t="n"/>
    </x:row>
    <x:row r="94">
      <x:c r="A94" s="15" t="n"/>
      <x:c r="B94" s="15" t="n"/>
      <x:c r="C94" s="15" t="n"/>
      <x:c r="D94" s="15" t="n"/>
      <x:c r="E94" s="15" t="n"/>
      <x:c r="F94" s="15" t="n"/>
      <x:c r="G94" s="15" t="n"/>
      <x:c r="H94" s="15" t="n"/>
      <x:c r="I94" s="15" t="n"/>
      <x:c r="J94" s="15" t="n"/>
      <x:c r="K94" s="15" t="n"/>
      <x:c r="L94" s="15" t="n"/>
      <x:c r="M94" s="15" t="n"/>
      <x:c r="N94" s="15" t="n"/>
      <x:c r="O94" s="15" t="n"/>
    </x:row>
    <x:row r="95">
      <x:c r="A95" s="15" t="n"/>
      <x:c r="B95" s="15" t="n"/>
      <x:c r="C95" s="15" t="n"/>
      <x:c r="D95" s="15" t="n"/>
      <x:c r="E95" s="15" t="n"/>
      <x:c r="F95" s="15" t="n"/>
      <x:c r="G95" s="15" t="n"/>
      <x:c r="H95" s="15" t="n"/>
      <x:c r="I95" s="15" t="n"/>
      <x:c r="J95" s="15" t="n"/>
      <x:c r="K95" s="15" t="n"/>
      <x:c r="L95" s="15" t="n"/>
      <x:c r="M95" s="15" t="n"/>
      <x:c r="N95" s="15" t="n"/>
      <x:c r="O95" s="15" t="n"/>
    </x:row>
    <x:row r="96">
      <x:c r="A96" s="15" t="n"/>
      <x:c r="B96" s="15" t="n"/>
      <x:c r="C96" s="15" t="n"/>
      <x:c r="D96" s="15" t="n"/>
      <x:c r="E96" s="15" t="n"/>
      <x:c r="F96" s="15" t="n"/>
      <x:c r="G96" s="15" t="n"/>
      <x:c r="H96" s="15" t="n"/>
      <x:c r="I96" s="15" t="n"/>
      <x:c r="J96" s="15" t="n"/>
      <x:c r="K96" s="15" t="n"/>
      <x:c r="L96" s="15" t="n"/>
      <x:c r="M96" s="15" t="n"/>
      <x:c r="N96" s="15" t="n"/>
      <x:c r="O96" s="15" t="n"/>
    </x:row>
    <x:row r="97">
      <x:c r="A97" s="15" t="n"/>
      <x:c r="B97" s="15" t="n"/>
      <x:c r="C97" s="15" t="n"/>
      <x:c r="D97" s="15" t="n"/>
      <x:c r="E97" s="15" t="n"/>
      <x:c r="F97" s="15" t="n"/>
      <x:c r="G97" s="15" t="n"/>
      <x:c r="H97" s="15" t="n"/>
      <x:c r="I97" s="15" t="n"/>
      <x:c r="J97" s="15" t="n"/>
      <x:c r="K97" s="15" t="n"/>
      <x:c r="L97" s="15" t="n"/>
      <x:c r="M97" s="15" t="n"/>
      <x:c r="N97" s="15" t="n"/>
      <x:c r="O97" s="15" t="n"/>
    </x:row>
    <x:row r="98">
      <x:c r="A98" s="15" t="n"/>
      <x:c r="B98" s="15" t="n"/>
      <x:c r="C98" s="15" t="n"/>
      <x:c r="D98" s="15" t="n"/>
      <x:c r="E98" s="15" t="n"/>
      <x:c r="F98" s="15" t="n"/>
      <x:c r="G98" s="15" t="n"/>
      <x:c r="H98" s="15" t="n"/>
      <x:c r="I98" s="15" t="n"/>
      <x:c r="J98" s="15" t="n"/>
      <x:c r="K98" s="15" t="n"/>
      <x:c r="L98" s="15" t="n"/>
      <x:c r="M98" s="15" t="n"/>
      <x:c r="N98" s="15" t="n"/>
      <x:c r="O98" s="15" t="n"/>
    </x:row>
    <x:row r="99">
      <x:c r="A99" s="15" t="n"/>
      <x:c r="B99" s="15" t="n"/>
      <x:c r="C99" s="15" t="n"/>
      <x:c r="D99" s="15" t="n"/>
      <x:c r="E99" s="15" t="n"/>
      <x:c r="F99" s="15" t="n"/>
      <x:c r="G99" s="15" t="n"/>
      <x:c r="H99" s="15" t="n"/>
      <x:c r="I99" s="15" t="n"/>
      <x:c r="J99" s="15" t="n"/>
      <x:c r="K99" s="15" t="n"/>
      <x:c r="L99" s="15" t="n"/>
      <x:c r="M99" s="15" t="n"/>
      <x:c r="N99" s="15" t="n"/>
      <x:c r="O99" s="15" t="n"/>
    </x:row>
    <x:row r="100">
      <x:c r="A100" s="15" t="n"/>
      <x:c r="B100" s="15" t="n"/>
      <x:c r="C100" s="15" t="n"/>
      <x:c r="D100" s="15" t="n"/>
      <x:c r="E100" s="15" t="n"/>
      <x:c r="F100" s="15" t="n"/>
      <x:c r="G100" s="15" t="n"/>
      <x:c r="H100" s="15" t="n"/>
      <x:c r="I100" s="15" t="n"/>
      <x:c r="J100" s="15" t="n"/>
      <x:c r="K100" s="15" t="n"/>
      <x:c r="L100" s="15" t="n"/>
      <x:c r="M100" s="15" t="n"/>
      <x:c r="N100" s="15" t="n"/>
      <x:c r="O100" s="15" t="n"/>
    </x:row>
  </x:sheetData>
  <x:pageMargins left="0.7" right="0.7" top="0.75" bottom="0.75" header="0.3" footer="0.3"/>
  <x:tableParts count="1">
    <x:tablePart xmlns:r="http://schemas.openxmlformats.org/officeDocument/2006/relationships" r:id="R2fd68bac5dee48e2"/>
  </x:tableParts>
</x:worksheet>
</file>

<file path=xl/worksheets/sheet2.xml><?xml version="1.0" encoding="utf-8"?>
<x:worksheet xmlns:x="http://schemas.openxmlformats.org/spreadsheetml/2006/main">
  <x:sheetFormatPr baseColWidth="8" defaultRowHeight="15"/>
  <x:cols>
    <x:col min="1" max="1" width="8" style="1" customWidth="1"/>
    <x:col min="2" max="2" width="16" style="1" customWidth="1"/>
    <x:col min="3" max="3" width="18" style="1" customWidth="1"/>
    <x:col min="4" max="4" width="48" style="1" customWidth="1"/>
    <x:col min="5" max="5" width="42" style="1" customWidth="1"/>
    <x:col min="6" max="6" width="34" style="1" customWidth="1"/>
    <x:col min="7" max="7" width="28" style="1" customWidth="1"/>
    <x:col min="8" max="8" width="28" style="1" customWidth="1"/>
  </x:cols>
  <x:sheetData>
    <x:row r="1">
      <x:c r="A1" s="27" t="inlineStr">
        <x:is>
          <x:t xml:space="preserve">Weekly Calendar: Chapter + Scientific Question Roadmap</x:t>
        </x:is>
      </x:c>
      <x:c r="B1" s="3" t="n"/>
      <x:c r="C1" s="3" t="n"/>
      <x:c r="D1" s="3" t="n"/>
      <x:c r="E1" s="3" t="n"/>
      <x:c r="F1" s="3" t="n"/>
      <x:c r="G1" s="3" t="n"/>
      <x:c r="H1" s="3" t="n"/>
    </x:row>
    <x:row r="2">
      <x:c r="A2" s="15" t="n"/>
      <x:c r="B2" s="15" t="n"/>
      <x:c r="C2" s="15" t="n"/>
      <x:c r="D2" s="15" t="n"/>
      <x:c r="E2" s="15" t="n"/>
      <x:c r="F2" s="15" t="n"/>
      <x:c r="G2" s="15" t="n"/>
      <x:c r="H2" s="15" t="n"/>
    </x:row>
    <x:row r="3">
      <x:c r="A3" s="8" t="inlineStr">
        <x:is>
          <x:t xml:space="preserve">Week</x:t>
        </x:is>
      </x:c>
      <x:c r="B3" s="8" t="inlineStr">
        <x:is>
          <x:t xml:space="preserve">Dates</x:t>
        </x:is>
      </x:c>
      <x:c r="C3" s="8" t="inlineStr">
        <x:is>
          <x:t xml:space="preserve">Chapters</x:t>
        </x:is>
      </x:c>
      <x:c r="D3" s="8" t="inlineStr">
        <x:is>
          <x:t xml:space="preserve">Scientific Questions</x:t>
        </x:is>
      </x:c>
      <x:c r="E3" s="8" t="inlineStr">
        <x:is>
          <x:t xml:space="preserve">Lecture / Topic Arc</x:t>
        </x:is>
      </x:c>
      <x:c r="F3" s="8" t="inlineStr">
        <x:is>
          <x:t xml:space="preserve">Assignments Due</x:t>
        </x:is>
      </x:c>
      <x:c r="G3" s="8" t="inlineStr">
        <x:is>
          <x:t xml:space="preserve">Exams / Assessments</x:t>
        </x:is>
      </x:c>
      <x:c r="H3" s="8" t="inlineStr">
        <x:is>
          <x:t xml:space="preserve">Instructor Notes</x:t>
        </x:is>
      </x:c>
    </x:row>
    <x:row r="4" s="1" customFormat="1" ht="96" customHeight="1">
      <x:c r="A4" s="15" t="n">
        <x:v>1</x:v>
      </x:c>
      <x:c r="B4" s="15" t="e">
        <x:f>IF($A4="","",TEXT(MINIFS('Master Schedule'!$A$2:$A$200,'Master Schedule'!$B$2:$B$200,$A4),"mmm d")&amp;"–"&amp;TEXT(MAXIFS('Master Schedule'!$A$2:$A$200,'Master Schedule'!$B$2:$B$200,$A4),"mmm d"))</x:f>
        <x:v>#NUM!</x:v>
      </x:c>
      <x:c r="C4" s="15" t="str">
        <x:f>IF($A4="","",TEXTJOIN(", ",TRUE,_xlfn.UNIQUE(_xlfn._xlws.FILTER('Master Schedule'!$E$2:$E$200,('Master Schedule'!$B$2:$B$200=$A4)*('Master Schedule'!$E$2:$E$200&lt;&gt;"")))))</x:f>
        <x:v>1, 2, 3, 4, 1-4</x:v>
      </x:c>
      <x:c r="D4" s="15" t="str">
        <x:f>IF($A4="","",TEXTJOIN(CHAR(10),TRUE,_xlfn.UNIQUE(_xlfn._xlws.FILTER('Master Schedule'!$F$2:$F$200,('Master Schedule'!$B$2:$B$200=$A4)*('Master Schedule'!$F$2:$F$200&lt;&gt;"")))))</x:f>
        <x:v>What is biochemistry, and how do chemical principles explain living systems?
Why is water the molecular environment that makes life possible?
How do amino acid properties determine protein behavior?
How does protein structure create biological function?
How do these concepts connect across chapters 1-4?</x:v>
      </x:c>
      <x:c r="E4" s="15" t="str">
        <x:f>IF($A4="","",TEXTJOIN(CHAR(10),TRUE,_xlfn._xlws.FILTER('Master Schedule'!$H$2:$H$200,('Master Schedule'!$B$2:$B$200=$A4)*('Master Schedule'!$H$2:$H$200&lt;&gt;""))))</x:f>
        <x:v>Chapter 1: Biochemistry Concepts and Themes
Chapter 2: Water: The Chemistry of Life
Chapter 3: Amino acids, peptides, and proteins
Chapter 3 continued
Chapter 4: Protein Structure</x:v>
      </x:c>
      <x:c r="F4" s="15" t="str">
        <x:f>IF($A4="","",TEXTJOIN(CHAR(10),TRUE,IFERROR(_xlfn._xlws.FILTER('Master Schedule'!$J$2:$J$200,('Master Schedule'!$B$2:$B$200=$A4)*('Master Schedule'!$J$2:$J$200&lt;&gt;""),""),""),IFERROR(_xlfn._xlws.FILTER('Master Schedule'!$K$2:$K$200,('Master Schedule'!$B$2:$B$200=$A4)*('Master Schedule'!$K$2:$K$200&lt;&gt;""),""),"")))</x:f>
        <x:v>Adaptive Quiz Ch 1 due 11:59 PM
Homework Chapters 1-4 due 11:59 PM</x:v>
      </x:c>
      <x:c r="G4" s="15" t="str">
        <x:f>IF($A4="","",TEXTJOIN(CHAR(10),TRUE,IFERROR(_xlfn._xlws.FILTER('Master Schedule'!$L$2:$L$200,('Master Schedule'!$B$2:$B$200=$A4)*('Master Schedule'!$L$2:$L$200&lt;&gt;""),""),"")))</x:f>
      </x:c>
      <x:c r="H4" s="15" t="str">
        <x:f>IF($A4="","",TEXTJOIN(CHAR(10),TRUE,IFERROR(_xlfn._xlws.FILTER('Master Schedule'!$N$2:$N$200,('Master Schedule'!$B$2:$B$200=$A4)*('Master Schedule'!$N$2:$N$200&lt;&gt;""),""),"")))</x:f>
      </x:c>
    </x:row>
    <x:row r="5" s="1" customFormat="1" ht="96" customHeight="1">
      <x:c r="A5" s="15" t="n">
        <x:v>2</x:v>
      </x:c>
      <x:c r="B5" s="15" t="e">
        <x:f>IF($A5="","",TEXT(MINIFS('Master Schedule'!$A$2:$A$200,'Master Schedule'!$B$2:$B$200,$A5),"mmm d")&amp;"–"&amp;TEXT(MAXIFS('Master Schedule'!$A$2:$A$200,'Master Schedule'!$B$2:$B$200,$A5),"mmm d"))</x:f>
        <x:v>#NUM!</x:v>
      </x:c>
      <x:c r="C5" s="15" t="str">
        <x:f>IF($A5="","",TEXTJOIN(", ",TRUE,_xlfn.UNIQUE(_xlfn._xlws.FILTER('Master Schedule'!$E$2:$E$200,('Master Schedule'!$B$2:$B$200=$A5)*('Master Schedule'!$E$2:$E$200&lt;&gt;"")))))</x:f>
        <x:v>5, 1-4, 6, 5-6</x:v>
      </x:c>
      <x:c r="D5" s="15" t="str">
        <x:f>IF($A5="","",TEXTJOIN(CHAR(10),TRUE,_xlfn.UNIQUE(_xlfn._xlws.FILTER('Master Schedule'!$F$2:$F$200,('Master Schedule'!$B$2:$B$200=$A5)*('Master Schedule'!$F$2:$F$200&lt;&gt;"")))))</x:f>
        <x:v>How do proteins recognize and bind specific molecules?
How do these concepts connect across chapters 1-4?
How do enzymes accelerate reactions and regulate cellular chemistry?
How do these concepts connect across chapters 5-6?</x:v>
      </x:c>
      <x:c r="E5" s="15" t="str">
        <x:f>IF($A5="","",TEXTJOIN(CHAR(10),TRUE,_xlfn._xlws.FILTER('Master Schedule'!$H$2:$H$200,('Master Schedule'!$B$2:$B$200=$A5)*('Master Schedule'!$H$2:$H$200&lt;&gt;""))))</x:f>
        <x:v>Chapter 5: Protein Function and Ligand Binding
Exam 1
Chapter 6: Protein Functions and Enzymes
Chapter 6 continued
Chapter 6 continued</x:v>
      </x:c>
      <x:c r="F5" s="15" t="str">
        <x:f>IF($A5="","",TEXTJOIN(CHAR(10),TRUE,IFERROR(_xlfn._xlws.FILTER('Master Schedule'!$J$2:$J$200,('Master Schedule'!$B$2:$B$200=$A5)*('Master Schedule'!$J$2:$J$200&lt;&gt;""),""),""),IFERROR(_xlfn._xlws.FILTER('Master Schedule'!$K$2:$K$200,('Master Schedule'!$B$2:$B$200=$A5)*('Master Schedule'!$K$2:$K$200&lt;&gt;""),""),"")))</x:f>
        <x:v>Adaptive Quiz Ch 5 due 11:59 PM
Homework Chapters 5-6 due 11:59 PM</x:v>
      </x:c>
      <x:c r="G5" s="15" t="str">
        <x:f>IF($A5="","",TEXTJOIN(CHAR(10),TRUE,IFERROR(_xlfn._xlws.FILTER('Master Schedule'!$L$2:$L$200,('Master Schedule'!$B$2:$B$200=$A5)*('Master Schedule'!$L$2:$L$200&lt;&gt;""),""),"")))</x:f>
        <x:v>Exam 1 Chapters 1-4 due 11:59 PM</x:v>
      </x:c>
      <x:c r="H5" s="15" t="str">
        <x:f>IF($A5="","",TEXTJOIN(CHAR(10),TRUE,IFERROR(_xlfn._xlws.FILTER('Master Schedule'!$N$2:$N$200,('Master Schedule'!$B$2:$B$200=$A5)*('Master Schedule'!$N$2:$N$200&lt;&gt;""),""),"")))</x:f>
      </x:c>
    </x:row>
    <x:row r="6" s="1" customFormat="1" ht="96" customHeight="1">
      <x:c r="A6" s="15" t="n">
        <x:v>3</x:v>
      </x:c>
      <x:c r="B6" s="15" t="e">
        <x:f>IF($A6="","",TEXT(MINIFS('Master Schedule'!$A$2:$A$200,'Master Schedule'!$B$2:$B$200,$A6),"mmm d")&amp;"–"&amp;TEXT(MAXIFS('Master Schedule'!$A$2:$A$200,'Master Schedule'!$B$2:$B$200,$A6),"mmm d"))</x:f>
        <x:v>#NUM!</x:v>
      </x:c>
      <x:c r="C6" s="15" t="str">
        <x:f>IF($A6="","",TEXTJOIN(", ",TRUE,_xlfn.UNIQUE(_xlfn._xlws.FILTER('Master Schedule'!$E$2:$E$200,('Master Schedule'!$B$2:$B$200=$A6)*('Master Schedule'!$E$2:$E$200&lt;&gt;"")))))</x:f>
        <x:v>7, 8, 13, 7-8,13</x:v>
      </x:c>
      <x:c r="D6" s="15" t="str">
        <x:f>IF($A6="","",TEXTJOIN(CHAR(10),TRUE,_xlfn.UNIQUE(_xlfn._xlws.FILTER('Master Schedule'!$F$2:$F$200,('Master Schedule'!$B$2:$B$200=$A6)*('Master Schedule'!$F$2:$F$200&lt;&gt;"")))))</x:f>
        <x:v>How do carbohydrates store information, energy, and structure?
How do lipids and membranes organize cellular boundaries and signaling?
How do cells organize metabolism and manage energy?
How do these concepts connect across chapters 7-8,13?</x:v>
      </x:c>
      <x:c r="E6" s="15" t="str">
        <x:f>IF($A6="","",TEXTJOIN(CHAR(10),TRUE,_xlfn._xlws.FILTER('Master Schedule'!$H$2:$H$200,('Master Schedule'!$B$2:$B$200=$A6)*('Master Schedule'!$H$2:$H$200&lt;&gt;""))))</x:f>
        <x:v>Chapter 7: Carbohydrates
Chapter 7: Carbohydrates continued
Chapter 8: Lipids, membranes, and membrane proteins
Chapter 13: Introduction to intermediary metabolism
Chapter 13: Introduction to intermediary metabolism</x:v>
      </x:c>
      <x:c r="F6" s="15" t="str">
        <x:f>IF($A6="","",TEXTJOIN(CHAR(10),TRUE,IFERROR(_xlfn._xlws.FILTER('Master Schedule'!$J$2:$J$200,('Master Schedule'!$B$2:$B$200=$A6)*('Master Schedule'!$J$2:$J$200&lt;&gt;""),""),""),IFERROR(_xlfn._xlws.FILTER('Master Schedule'!$K$2:$K$200,('Master Schedule'!$B$2:$B$200=$A6)*('Master Schedule'!$K$2:$K$200&lt;&gt;""),""),"")))</x:f>
        <x:v>Adaptive Quiz Ch 7 due 11:59 PM
Homework Chapters 7-8, 13 due 11:59 PM</x:v>
      </x:c>
      <x:c r="G6" s="15" t="str">
        <x:f>IF($A6="","",TEXTJOIN(CHAR(10),TRUE,IFERROR(_xlfn._xlws.FILTER('Master Schedule'!$L$2:$L$200,('Master Schedule'!$B$2:$B$200=$A6)*('Master Schedule'!$L$2:$L$200&lt;&gt;""),""),"")))</x:f>
      </x:c>
      <x:c r="H6" s="15" t="str">
        <x:f>IF($A6="","",TEXTJOIN(CHAR(10),TRUE,IFERROR(_xlfn._xlws.FILTER('Master Schedule'!$N$2:$N$200,('Master Schedule'!$B$2:$B$200=$A6)*('Master Schedule'!$N$2:$N$200&lt;&gt;""),""),"")))</x:f>
      </x:c>
    </x:row>
    <x:row r="7" s="1" customFormat="1" ht="96" customHeight="1">
      <x:c r="A7" s="15" t="n">
        <x:v>4</x:v>
      </x:c>
      <x:c r="B7" s="15" t="e">
        <x:f>IF($A7="","",TEXT(MINIFS('Master Schedule'!$A$2:$A$200,'Master Schedule'!$B$2:$B$200,$A7),"mmm d")&amp;"–"&amp;TEXT(MAXIFS('Master Schedule'!$A$2:$A$200,'Master Schedule'!$B$2:$B$200,$A7),"mmm d"))</x:f>
        <x:v>#NUM!</x:v>
      </x:c>
      <x:c r="C7" s="15" t="str">
        <x:f>IF($A7="","",TEXTJOIN(", ",TRUE,_xlfn.UNIQUE(_xlfn._xlws.FILTER('Master Schedule'!$E$2:$E$200,('Master Schedule'!$B$2:$B$200=$A7)*('Master Schedule'!$E$2:$E$200&lt;&gt;"")))))</x:f>
        <x:v>14, 5-8,13, 16, 19, 14,16,19</x:v>
      </x:c>
      <x:c r="D7" s="15" t="str">
        <x:f>IF($A7="","",TEXTJOIN(CHAR(10),TRUE,_xlfn.UNIQUE(_xlfn._xlws.FILTER('Master Schedule'!$F$2:$F$200,('Master Schedule'!$B$2:$B$200=$A7)*('Master Schedule'!$F$2:$F$200&lt;&gt;"")))))</x:f>
        <x:v>How do cells extract energy from glucose?
How do these concepts connect across chapters 5-8,13?
How does the citric acid cycle connect carbon flow to energy production?
How do cells convert electron flow into ATP?
How do these concepts connect across chapters 14,16,19?</x:v>
      </x:c>
      <x:c r="E7" s="15" t="str">
        <x:f>IF($A7="","",TEXTJOIN(CHAR(10),TRUE,_xlfn._xlws.FILTER('Master Schedule'!$H$2:$H$200,('Master Schedule'!$B$2:$B$200=$A7)*('Master Schedule'!$H$2:$H$200&lt;&gt;""))))</x:f>
        <x:v>Chapter 14: Carbohydrate metabolism Part I
Exam 2
Chapter 14: Carbohydrate metabolism Part I
Chapter 16: Pyruvate Oxidation and the Citric Acid Cycle
Chapter 19: Electron Transfer and Oxidative Phosphorylation</x:v>
      </x:c>
      <x:c r="F7" s="15" t="str">
        <x:f>IF($A7="","",TEXTJOIN(CHAR(10),TRUE,IFERROR(_xlfn._xlws.FILTER('Master Schedule'!$J$2:$J$200,('Master Schedule'!$B$2:$B$200=$A7)*('Master Schedule'!$J$2:$J$200&lt;&gt;""),""),""),IFERROR(_xlfn._xlws.FILTER('Master Schedule'!$K$2:$K$200,('Master Schedule'!$B$2:$B$200=$A7)*('Master Schedule'!$K$2:$K$200&lt;&gt;""),""),"")))</x:f>
        <x:v>Adaptive Quiz Ch 14 due 11:59 PM
Homework Chapters 14, 16, 19 due 11:59 PM</x:v>
      </x:c>
      <x:c r="G7" s="15" t="str">
        <x:f>IF($A7="","",TEXTJOIN(CHAR(10),TRUE,IFERROR(_xlfn._xlws.FILTER('Master Schedule'!$L$2:$L$200,('Master Schedule'!$B$2:$B$200=$A7)*('Master Schedule'!$L$2:$L$200&lt;&gt;""),""),"")))</x:f>
        <x:v>Exam 2 Chapters 5-8, 13 due 11:59 PM</x:v>
      </x:c>
      <x:c r="H7" s="15" t="str">
        <x:f>IF($A7="","",TEXTJOIN(CHAR(10),TRUE,IFERROR(_xlfn._xlws.FILTER('Master Schedule'!$N$2:$N$200,('Master Schedule'!$B$2:$B$200=$A7)*('Master Schedule'!$N$2:$N$200&lt;&gt;""),""),"")))</x:f>
      </x:c>
    </x:row>
    <x:row r="8" s="1" customFormat="1" ht="96" customHeight="1">
      <x:c r="A8" s="15" t="n">
        <x:v>5</x:v>
      </x:c>
      <x:c r="B8" s="15" t="e">
        <x:f>IF($A8="","",TEXT(MINIFS('Master Schedule'!$A$2:$A$200,'Master Schedule'!$B$2:$B$200,$A8),"mmm d")&amp;"–"&amp;TEXT(MAXIFS('Master Schedule'!$A$2:$A$200,'Master Schedule'!$B$2:$B$200,$A8),"mmm d"))</x:f>
        <x:v>#NUM!</x:v>
      </x:c>
      <x:c r="C8" s="15" t="str">
        <x:f>IF($A8="","",TEXTJOIN(", ",TRUE,_xlfn.UNIQUE(_xlfn._xlws.FILTER('Master Schedule'!$E$2:$E$200,('Master Schedule'!$B$2:$B$200=$A8)*('Master Schedule'!$E$2:$E$200&lt;&gt;"")))))</x:f>
        <x:v>9, 10, 11, Cumulative</x:v>
      </x:c>
      <x:c r="D8" s="15" t="str">
        <x:f>IF($A8="","",TEXTJOIN(CHAR(10),TRUE,_xlfn.UNIQUE(_xlfn._xlws.FILTER('Master Schedule'!$F$2:$F$200,('Master Schedule'!$B$2:$B$200=$A8)*('Master Schedule'!$F$2:$F$200&lt;&gt;"")))))</x:f>
        <x:v>How is genetic information encoded in nucleic acid structure?
How is genetic information copied and transcribed?
How is genetic information translated into protein?
How do these concepts connect across chapters Cumulative?</x:v>
      </x:c>
      <x:c r="E8" s="15" t="str">
        <x:f>IF($A8="","",TEXTJOIN(CHAR(10),TRUE,_xlfn._xlws.FILTER('Master Schedule'!$H$2:$H$200,('Master Schedule'!$B$2:$B$200=$A8)*('Master Schedule'!$H$2:$H$200&lt;&gt;""))))</x:f>
        <x:v>Chapter 9: Nucleotides
Chapter 10: Biological Information Part I
Chapter 10: Biological Information Part I
Chapter 11: Biological Information Part II
Final Exam</x:v>
      </x:c>
      <x:c r="F8" s="15" t="str">
        <x:f>IF($A8="","",TEXTJOIN(CHAR(10),TRUE,IFERROR(_xlfn._xlws.FILTER('Master Schedule'!$J$2:$J$200,('Master Schedule'!$B$2:$B$200=$A8)*('Master Schedule'!$J$2:$J$200&lt;&gt;""),""),""),IFERROR(_xlfn._xlws.FILTER('Master Schedule'!$K$2:$K$200,('Master Schedule'!$B$2:$B$200=$A8)*('Master Schedule'!$K$2:$K$200&lt;&gt;""),""),"")))</x:f>
        <x:v>Adaptive Quiz Ch 9 due 11:59 PM
Homework Chapters 9-11 due 11:59 PM</x:v>
      </x:c>
      <x:c r="G8" s="15" t="str">
        <x:f>IF($A8="","",TEXTJOIN(CHAR(10),TRUE,IFERROR(_xlfn._xlws.FILTER('Master Schedule'!$L$2:$L$200,('Master Schedule'!$B$2:$B$200=$A8)*('Master Schedule'!$L$2:$L$200&lt;&gt;""),""),"")))</x:f>
        <x:v>Final Exam cumulative</x:v>
      </x:c>
      <x:c r="H8" s="15" t="str">
        <x:f>IF($A8="","",TEXTJOIN(CHAR(10),TRUE,IFERROR(_xlfn._xlws.FILTER('Master Schedule'!$N$2:$N$200,('Master Schedule'!$B$2:$B$200=$A8)*('Master Schedule'!$N$2:$N$200&lt;&gt;""),""),"")))</x:f>
      </x:c>
    </x:row>
    <x:row r="9">
      <x:c r="A9" s="15" t="n"/>
      <x:c r="B9" s="15" t="n"/>
      <x:c r="C9" s="15" t="n"/>
      <x:c r="D9" s="15" t="n"/>
      <x:c r="E9" s="15" t="n"/>
      <x:c r="F9" s="15" t="n"/>
      <x:c r="G9" s="15" t="n"/>
      <x:c r="H9" s="15" t="n"/>
    </x:row>
    <x:row r="10">
      <x:c r="A10" s="15" t="n"/>
      <x:c r="B10" s="15" t="n"/>
      <x:c r="C10" s="15" t="n"/>
      <x:c r="D10" s="15" t="n"/>
      <x:c r="E10" s="15" t="n"/>
      <x:c r="F10" s="15" t="n"/>
      <x:c r="G10" s="15" t="n"/>
      <x:c r="H10" s="15" t="n"/>
    </x:row>
    <x:row r="11">
      <x:c r="A11" s="15" t="n"/>
      <x:c r="B11" s="15" t="n"/>
      <x:c r="C11" s="15" t="n"/>
      <x:c r="D11" s="15" t="n"/>
      <x:c r="E11" s="15" t="n"/>
      <x:c r="F11" s="15" t="n"/>
      <x:c r="G11" s="15" t="n"/>
      <x:c r="H11" s="15" t="n"/>
    </x:row>
    <x:row r="12">
      <x:c r="A12" s="15" t="n"/>
      <x:c r="B12" s="15" t="n"/>
      <x:c r="C12" s="15" t="n"/>
      <x:c r="D12" s="15" t="n"/>
      <x:c r="E12" s="15" t="n"/>
      <x:c r="F12" s="15" t="n"/>
      <x:c r="G12" s="15" t="n"/>
      <x:c r="H12" s="15" t="n"/>
    </x:row>
    <x:row r="13">
      <x:c r="A13" s="15" t="n"/>
      <x:c r="B13" s="15" t="n"/>
      <x:c r="C13" s="15" t="n"/>
      <x:c r="D13" s="15" t="n"/>
      <x:c r="E13" s="15" t="n"/>
      <x:c r="F13" s="15" t="n"/>
      <x:c r="G13" s="15" t="n"/>
      <x:c r="H13" s="15" t="n"/>
    </x:row>
    <x:row r="14">
      <x:c r="A14" s="15" t="n"/>
      <x:c r="B14" s="15" t="n"/>
      <x:c r="C14" s="15" t="n"/>
      <x:c r="D14" s="15" t="n"/>
      <x:c r="E14" s="15" t="n"/>
      <x:c r="F14" s="15" t="n"/>
      <x:c r="G14" s="15" t="n"/>
      <x:c r="H14" s="15" t="n"/>
    </x:row>
    <x:row r="15">
      <x:c r="A15" s="15" t="n"/>
      <x:c r="B15" s="15" t="n"/>
      <x:c r="C15" s="15" t="n"/>
      <x:c r="D15" s="15" t="n"/>
      <x:c r="E15" s="15" t="n"/>
      <x:c r="F15" s="15" t="n"/>
      <x:c r="G15" s="15" t="n"/>
      <x:c r="H15" s="15" t="n"/>
    </x:row>
    <x:row r="16">
      <x:c r="A16" s="15" t="n"/>
      <x:c r="B16" s="15" t="n"/>
      <x:c r="C16" s="15" t="n"/>
      <x:c r="D16" s="15" t="n"/>
      <x:c r="E16" s="15" t="n"/>
      <x:c r="F16" s="15" t="n"/>
      <x:c r="G16" s="15" t="n"/>
      <x:c r="H16" s="15" t="n"/>
    </x:row>
    <x:row r="17">
      <x:c r="A17" s="15" t="n"/>
      <x:c r="B17" s="15" t="n"/>
      <x:c r="C17" s="15" t="n"/>
      <x:c r="D17" s="15" t="n"/>
      <x:c r="E17" s="15" t="n"/>
      <x:c r="F17" s="15" t="n"/>
      <x:c r="G17" s="15" t="n"/>
      <x:c r="H17" s="15" t="n"/>
    </x:row>
    <x:row r="18">
      <x:c r="A18" s="15" t="n"/>
      <x:c r="B18" s="15" t="n"/>
      <x:c r="C18" s="15" t="n"/>
      <x:c r="D18" s="15" t="n"/>
      <x:c r="E18" s="15" t="n"/>
      <x:c r="F18" s="15" t="n"/>
      <x:c r="G18" s="15" t="n"/>
      <x:c r="H18" s="15" t="n"/>
    </x:row>
    <x:row r="19">
      <x:c r="A19" s="15" t="n"/>
      <x:c r="B19" s="15" t="n"/>
      <x:c r="C19" s="15" t="n"/>
      <x:c r="D19" s="15" t="n"/>
      <x:c r="E19" s="15" t="n"/>
      <x:c r="F19" s="15" t="n"/>
      <x:c r="G19" s="15" t="n"/>
      <x:c r="H19" s="15" t="n"/>
    </x:row>
    <x:row r="20">
      <x:c r="A20" s="15" t="n"/>
      <x:c r="B20" s="15" t="n"/>
      <x:c r="C20" s="15" t="n"/>
      <x:c r="D20" s="15" t="n"/>
      <x:c r="E20" s="15" t="n"/>
      <x:c r="F20" s="15" t="n"/>
      <x:c r="G20" s="15" t="n"/>
      <x:c r="H20" s="15" t="n"/>
    </x:row>
  </x:sheetData>
  <x:mergeCells>
    <x:mergeCell ref="A1:H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style="1" customWidth="1"/>
    <x:col min="2" max="2" width="8" style="1" customWidth="1"/>
    <x:col min="3" max="3" width="12" style="1" customWidth="1"/>
    <x:col min="4" max="4" width="14" style="1" customWidth="1"/>
    <x:col min="5" max="5" width="12" style="1" customWidth="1"/>
    <x:col min="6" max="6" width="38" style="1" customWidth="1"/>
    <x:col min="7" max="7" width="12" style="1" customWidth="1"/>
    <x:col min="8" max="8" width="34" style="1" customWidth="1"/>
    <x:col min="9" max="9" width="30" style="1" customWidth="1"/>
    <x:col min="10" max="10" width="24" style="1" customWidth="1"/>
    <x:col min="11" max="11" width="24" style="1" customWidth="1"/>
    <x:col min="12" max="12" width="24" style="1" customWidth="1"/>
    <x:col min="13" max="13" width="42" style="1" customWidth="1"/>
  </x:cols>
  <x:sheetData>
    <x:row r="1">
      <x:c r="A1" s="31" t="inlineStr">
        <x:is>
          <x:t xml:space="preserve">Day-by-Day Calendar (auto-updates from Master Schedule)</x:t>
        </x:is>
      </x:c>
      <x:c r="B1" s="3" t="n"/>
      <x:c r="C1" s="3" t="n"/>
      <x:c r="D1" s="3" t="n"/>
      <x:c r="E1" s="3" t="n"/>
      <x:c r="F1" s="3" t="n"/>
      <x:c r="G1" s="3" t="n"/>
      <x:c r="H1" s="3" t="n"/>
      <x:c r="I1" s="3" t="n"/>
      <x:c r="J1" s="3" t="n"/>
      <x:c r="K1" s="3" t="n"/>
      <x:c r="L1" s="3" t="n"/>
      <x:c r="M1" s="3" t="n"/>
    </x:row>
    <x:row r="2">
      <x:c r="A2" s="15" t="n"/>
      <x:c r="B2" s="15" t="n"/>
      <x:c r="C2" s="15" t="n"/>
      <x:c r="D2" s="15" t="n"/>
      <x:c r="E2" s="15" t="n"/>
      <x:c r="F2" s="15" t="n"/>
      <x:c r="G2" s="15" t="n"/>
      <x:c r="H2" s="15" t="n"/>
      <x:c r="I2" s="15" t="n"/>
      <x:c r="J2" s="15" t="n"/>
      <x:c r="K2" s="15" t="n"/>
      <x:c r="L2" s="15" t="n"/>
      <x:c r="M2" s="15" t="n"/>
    </x:row>
    <x:row r="3">
      <x:c r="A3" s="8" t="inlineStr">
        <x:is>
          <x:t xml:space="preserve">Date</x:t>
        </x:is>
      </x:c>
      <x:c r="B3" s="8" t="inlineStr">
        <x:is>
          <x:t xml:space="preserve">Week</x:t>
        </x:is>
      </x:c>
      <x:c r="C3" s="8" t="inlineStr">
        <x:is>
          <x:t xml:space="preserve">Day</x:t>
        </x:is>
      </x:c>
      <x:c r="D3" s="8" t="inlineStr">
        <x:is>
          <x:t xml:space="preserve">Meeting Type</x:t>
        </x:is>
      </x:c>
      <x:c r="E3" s="8" t="inlineStr">
        <x:is>
          <x:t xml:space="preserve">Chapter(s)</x:t>
        </x:is>
      </x:c>
      <x:c r="F3" s="8" t="inlineStr">
        <x:is>
          <x:t xml:space="preserve">Scientific Question</x:t>
        </x:is>
      </x:c>
      <x:c r="G3" s="8" t="inlineStr">
        <x:is>
          <x:t xml:space="preserve">Reading</x:t>
        </x:is>
      </x:c>
      <x:c r="H3" s="8" t="inlineStr">
        <x:is>
          <x:t xml:space="preserve">Topic</x:t>
        </x:is>
      </x:c>
      <x:c r="I3" s="8" t="inlineStr">
        <x:is>
          <x:t xml:space="preserve">Focus / Learning Goal</x:t>
        </x:is>
      </x:c>
      <x:c r="J3" s="8" t="inlineStr">
        <x:is>
          <x:t xml:space="preserve">Adaptive Quiz Due</x:t>
        </x:is>
      </x:c>
      <x:c r="K3" s="8" t="inlineStr">
        <x:is>
          <x:t xml:space="preserve">Homework Due</x:t>
        </x:is>
      </x:c>
      <x:c r="L3" s="8" t="inlineStr">
        <x:is>
          <x:t xml:space="preserve">Exam / Assessment</x:t>
        </x:is>
      </x:c>
      <x:c r="M3" s="8" t="inlineStr">
        <x:is>
          <x:t xml:space="preserve">Student-facing Summary</x:t>
        </x:is>
      </x:c>
    </x:row>
    <x:row r="4">
      <x:c r="A4" s="15" t="str">
        <x:f t="array" ref="A4:M4">IF('Master Schedule'!A2="","",'Master Schedule'!A2)</x:f>
        <x:v>2025-07-14</x:v>
      </x:c>
      <x:c r="B4" s="15" t="n">
        <x:f>IF('Master Schedule'!A2="","",'Master Schedule'!B2)</x:f>
        <x:v>1</x:v>
      </x:c>
      <x:c r="C4" s="15" t="str">
        <x:f>IF('Master Schedule'!A2="","",'Master Schedule'!C2&amp;"")</x:f>
        <x:v>Monday</x:v>
      </x:c>
      <x:c r="D4" s="15" t="str">
        <x:f>IF('Master Schedule'!A2="","",'Master Schedule'!D2&amp;"")</x:f>
        <x:v>Lecture</x:v>
      </x:c>
      <x:c r="E4" s="15" t="str">
        <x:f>IF('Master Schedule'!A2="","",'Master Schedule'!E2&amp;"")</x:f>
        <x:v>1</x:v>
      </x:c>
      <x:c r="F4" s="15" t="str">
        <x:f>IF('Master Schedule'!A2="","",'Master Schedule'!F2&amp;"")</x:f>
        <x:v>What is biochemistry, and how do chemical principles explain living systems?</x:v>
      </x:c>
      <x:c r="G4" s="15" t="str">
        <x:f>IF('Master Schedule'!A2="","",'Master Schedule'!G2&amp;"")</x:f>
        <x:v>1.1-1.5</x:v>
      </x:c>
      <x:c r="H4" s="15" t="str">
        <x:f>IF('Master Schedule'!A2="","",'Master Schedule'!H2&amp;"")</x:f>
        <x:v>Chapter 1: Biochemistry Concepts and Themes</x:v>
      </x:c>
      <x:c r="I4" s="15" t="str">
        <x:f>IF('Master Schedule'!A2="","",'Master Schedule'!I2&amp;"")</x:f>
        <x:v>Cells, molecules, equilibrium, thermodynamics</x:v>
      </x:c>
      <x:c r="J4" s="15" t="str">
        <x:f>IF('Master Schedule'!A2="","",'Master Schedule'!J2&amp;"")</x:f>
      </x:c>
      <x:c r="K4" s="15" t="str">
        <x:f>IF('Master Schedule'!A2="","",'Master Schedule'!K2&amp;"")</x:f>
      </x:c>
      <x:c r="L4" s="15" t="str">
        <x:f>IF('Master Schedule'!A2="","",'Master Schedule'!L2&amp;"")</x:f>
      </x:c>
      <x:c r="M4" s="15" t="str">
        <x:f>IF('Master Schedule'!A2="","",'Master Schedule'!M2&amp;"")</x:f>
        <x:v>First day of class | Chapter 1: Biochemistry Concepts and Themes</x:v>
      </x:c>
    </x:row>
    <x:row r="5">
      <x:c r="A5" s="15" t="str">
        <x:f>IF('Master Schedule'!A3="","",'Master Schedule'!A3)</x:f>
        <x:v>2025-07-15</x:v>
      </x:c>
      <x:c r="B5" s="15" t="n">
        <x:f>IF('Master Schedule'!A3="","",'Master Schedule'!B3)</x:f>
        <x:v>1</x:v>
      </x:c>
      <x:c r="C5" s="15" t="str">
        <x:f>IF('Master Schedule'!A3="","",'Master Schedule'!C3&amp;"")</x:f>
        <x:v>Tuesday</x:v>
      </x:c>
      <x:c r="D5" s="15" t="str">
        <x:f>IF('Master Schedule'!A3="","",'Master Schedule'!D3&amp;"")</x:f>
        <x:v>Lecture</x:v>
      </x:c>
      <x:c r="E5" s="15" t="str">
        <x:f>IF('Master Schedule'!A3="","",'Master Schedule'!E3&amp;"")</x:f>
        <x:v>2</x:v>
      </x:c>
      <x:c r="F5" s="15" t="str">
        <x:f>IF('Master Schedule'!A3="","",'Master Schedule'!F3&amp;"")</x:f>
        <x:v>Why is water the molecular environment that makes life possible?</x:v>
      </x:c>
      <x:c r="G5" s="15" t="str">
        <x:f>IF('Master Schedule'!A3="","",'Master Schedule'!G3&amp;"")</x:f>
        <x:v>2.1-2.3</x:v>
      </x:c>
      <x:c r="H5" s="15" t="str">
        <x:f>IF('Master Schedule'!A3="","",'Master Schedule'!H3&amp;"")</x:f>
        <x:v>Chapter 2: Water: The Chemistry of Life</x:v>
      </x:c>
      <x:c r="I5" s="15" t="str">
        <x:f>IF('Master Schedule'!A3="","",'Master Schedule'!I3&amp;"")</x:f>
        <x:v>Weak interactions in aqueous systems; buffer chemistry</x:v>
      </x:c>
      <x:c r="J5" s="15" t="str">
        <x:f>IF('Master Schedule'!A3="","",'Master Schedule'!J3&amp;"")</x:f>
        <x:v>Adaptive Quiz Ch 1 due 11:59 PM</x:v>
      </x:c>
      <x:c r="K5" s="15" t="str">
        <x:f>IF('Master Schedule'!A3="","",'Master Schedule'!K3&amp;"")</x:f>
      </x:c>
      <x:c r="L5" s="15" t="str">
        <x:f>IF('Master Schedule'!A3="","",'Master Schedule'!L3&amp;"")</x:f>
      </x:c>
      <x:c r="M5" s="15" t="str">
        <x:f>IF('Master Schedule'!A3="","",'Master Schedule'!M3&amp;"")</x:f>
        <x:v>Chapter 2: Water: The Chemistry of Life | Adaptive Quiz Ch 1 due 11:59 PM</x:v>
      </x:c>
    </x:row>
    <x:row r="6">
      <x:c r="A6" s="15" t="str">
        <x:f>IF('Master Schedule'!A4="","",'Master Schedule'!A4)</x:f>
        <x:v>2025-07-16</x:v>
      </x:c>
      <x:c r="B6" s="15" t="n">
        <x:f>IF('Master Schedule'!A4="","",'Master Schedule'!B4)</x:f>
        <x:v>1</x:v>
      </x:c>
      <x:c r="C6" s="15" t="str">
        <x:f>IF('Master Schedule'!A4="","",'Master Schedule'!C4&amp;"")</x:f>
        <x:v>Wednesday</x:v>
      </x:c>
      <x:c r="D6" s="15" t="str">
        <x:f>IF('Master Schedule'!A4="","",'Master Schedule'!D4&amp;"")</x:f>
        <x:v>Lecture</x:v>
      </x:c>
      <x:c r="E6" s="15" t="str">
        <x:f>IF('Master Schedule'!A4="","",'Master Schedule'!E4&amp;"")</x:f>
        <x:v>3</x:v>
      </x:c>
      <x:c r="F6" s="15" t="str">
        <x:f>IF('Master Schedule'!A4="","",'Master Schedule'!F4&amp;"")</x:f>
        <x:v>How do amino acid properties determine protein behavior?</x:v>
      </x:c>
      <x:c r="G6" s="15" t="str">
        <x:f>IF('Master Schedule'!A4="","",'Master Schedule'!G4&amp;"")</x:f>
        <x:v>3.1-3.2</x:v>
      </x:c>
      <x:c r="H6" s="15" t="str">
        <x:f>IF('Master Schedule'!A4="","",'Master Schedule'!H4&amp;"")</x:f>
        <x:v>Chapter 3: Amino acids, peptides, and proteins</x:v>
      </x:c>
      <x:c r="I6" s="15" t="str">
        <x:f>IF('Master Schedule'!A4="","",'Master Schedule'!I4&amp;"")</x:f>
        <x:v>Amino acid chemistry, buffers, titrations, polypeptides, proteins</x:v>
      </x:c>
      <x:c r="J6" s="15" t="str">
        <x:f>IF('Master Schedule'!A4="","",'Master Schedule'!J4&amp;"")</x:f>
        <x:v>Adaptive Quiz Ch 2 due 11:59 PM</x:v>
      </x:c>
      <x:c r="K6" s="15" t="str">
        <x:f>IF('Master Schedule'!A4="","",'Master Schedule'!K4&amp;"")</x:f>
      </x:c>
      <x:c r="L6" s="15" t="str">
        <x:f>IF('Master Schedule'!A4="","",'Master Schedule'!L4&amp;"")</x:f>
      </x:c>
      <x:c r="M6" s="15" t="str">
        <x:f>IF('Master Schedule'!A4="","",'Master Schedule'!M4&amp;"")</x:f>
        <x:v>Chapter 3: Amino acids, peptides, and proteins | Adaptive Quiz Ch 2 due 11:59 PM</x:v>
      </x:c>
    </x:row>
    <x:row r="7">
      <x:c r="A7" s="15" t="str">
        <x:f>IF('Master Schedule'!A5="","",'Master Schedule'!A5)</x:f>
        <x:v>2025-07-17</x:v>
      </x:c>
      <x:c r="B7" s="15" t="n">
        <x:f>IF('Master Schedule'!A5="","",'Master Schedule'!B5)</x:f>
        <x:v>1</x:v>
      </x:c>
      <x:c r="C7" s="15" t="str">
        <x:f>IF('Master Schedule'!A5="","",'Master Schedule'!C5&amp;"")</x:f>
        <x:v>Thursday</x:v>
      </x:c>
      <x:c r="D7" s="15" t="str">
        <x:f>IF('Master Schedule'!A5="","",'Master Schedule'!D5&amp;"")</x:f>
        <x:v>Lecture</x:v>
      </x:c>
      <x:c r="E7" s="15" t="str">
        <x:f>IF('Master Schedule'!A5="","",'Master Schedule'!E5&amp;"")</x:f>
        <x:v>3</x:v>
      </x:c>
      <x:c r="F7" s="15" t="str">
        <x:f>IF('Master Schedule'!A5="","",'Master Schedule'!F5&amp;"")</x:f>
        <x:v>How do amino acid properties determine protein behavior?</x:v>
      </x:c>
      <x:c r="G7" s="15" t="str">
        <x:f>IF('Master Schedule'!A5="","",'Master Schedule'!G5&amp;"")</x:f>
        <x:v>3.3-3.4</x:v>
      </x:c>
      <x:c r="H7" s="15" t="str">
        <x:f>IF('Master Schedule'!A5="","",'Master Schedule'!H5&amp;"")</x:f>
        <x:v>Chapter 3 continued</x:v>
      </x:c>
      <x:c r="I7" s="15" t="str">
        <x:f>IF('Master Schedule'!A5="","",'Master Schedule'!I5&amp;"")</x:f>
        <x:v>Biochemical techniques</x:v>
      </x:c>
      <x:c r="J7" s="15" t="str">
        <x:f>IF('Master Schedule'!A5="","",'Master Schedule'!J5&amp;"")</x:f>
      </x:c>
      <x:c r="K7" s="15" t="str">
        <x:f>IF('Master Schedule'!A5="","",'Master Schedule'!K5&amp;"")</x:f>
      </x:c>
      <x:c r="L7" s="15" t="str">
        <x:f>IF('Master Schedule'!A5="","",'Master Schedule'!L5&amp;"")</x:f>
      </x:c>
      <x:c r="M7" s="15" t="str">
        <x:f>IF('Master Schedule'!A5="","",'Master Schedule'!M5&amp;"")</x:f>
        <x:v>Chapter 3 continued</x:v>
      </x:c>
    </x:row>
    <x:row r="8">
      <x:c r="A8" s="15" t="str">
        <x:f>IF('Master Schedule'!A6="","",'Master Schedule'!A6)</x:f>
        <x:v>2025-07-18</x:v>
      </x:c>
      <x:c r="B8" s="15" t="n">
        <x:f>IF('Master Schedule'!A6="","",'Master Schedule'!B6)</x:f>
        <x:v>1</x:v>
      </x:c>
      <x:c r="C8" s="15" t="str">
        <x:f>IF('Master Schedule'!A6="","",'Master Schedule'!C6&amp;"")</x:f>
        <x:v>Friday</x:v>
      </x:c>
      <x:c r="D8" s="15" t="str">
        <x:f>IF('Master Schedule'!A6="","",'Master Schedule'!D6&amp;"")</x:f>
        <x:v>Lecture</x:v>
      </x:c>
      <x:c r="E8" s="15" t="str">
        <x:f>IF('Master Schedule'!A6="","",'Master Schedule'!E6&amp;"")</x:f>
        <x:v>4</x:v>
      </x:c>
      <x:c r="F8" s="15" t="str">
        <x:f>IF('Master Schedule'!A6="","",'Master Schedule'!F6&amp;"")</x:f>
        <x:v>How does protein structure create biological function?</x:v>
      </x:c>
      <x:c r="G8" s="15" t="str">
        <x:f>IF('Master Schedule'!A6="","",'Master Schedule'!G6&amp;"")</x:f>
        <x:v>4.1-4.4</x:v>
      </x:c>
      <x:c r="H8" s="15" t="str">
        <x:f>IF('Master Schedule'!A6="","",'Master Schedule'!H6&amp;"")</x:f>
        <x:v>Chapter 4: Protein Structure</x:v>
      </x:c>
      <x:c r="I8" s="15" t="str">
        <x:f>IF('Master Schedule'!A6="","",'Master Schedule'!I6&amp;"")</x:f>
      </x:c>
      <x:c r="J8" s="15" t="str">
        <x:f>IF('Master Schedule'!A6="","",'Master Schedule'!J6&amp;"")</x:f>
        <x:v>Adaptive Quiz Ch 3 due 11:59 PM</x:v>
      </x:c>
      <x:c r="K8" s="15" t="str">
        <x:f>IF('Master Schedule'!A6="","",'Master Schedule'!K6&amp;"")</x:f>
      </x:c>
      <x:c r="L8" s="15" t="str">
        <x:f>IF('Master Schedule'!A6="","",'Master Schedule'!L6&amp;"")</x:f>
      </x:c>
      <x:c r="M8" s="15" t="str">
        <x:f>IF('Master Schedule'!A6="","",'Master Schedule'!M6&amp;"")</x:f>
        <x:v>Chapter 4: Protein Structure | Adaptive Quiz Ch 3 due 11:59 PM</x:v>
      </x:c>
    </x:row>
    <x:row r="9">
      <x:c r="A9" s="15" t="str">
        <x:f>IF('Master Schedule'!A7="","",'Master Schedule'!A7)</x:f>
        <x:v>2025-07-19</x:v>
      </x:c>
      <x:c r="B9" s="15" t="n">
        <x:f>IF('Master Schedule'!A7="","",'Master Schedule'!B7)</x:f>
        <x:v>1</x:v>
      </x:c>
      <x:c r="C9" s="15" t="str">
        <x:f>IF('Master Schedule'!A7="","",'Master Schedule'!C7&amp;"")</x:f>
        <x:v>Saturday</x:v>
      </x:c>
      <x:c r="D9" s="15" t="str">
        <x:f>IF('Master Schedule'!A7="","",'Master Schedule'!D7&amp;"")</x:f>
        <x:v>Async/Quiz</x:v>
      </x:c>
      <x:c r="E9" s="15" t="str">
        <x:f>IF('Master Schedule'!A7="","",'Master Schedule'!E7&amp;"")</x:f>
        <x:v>4</x:v>
      </x:c>
      <x:c r="F9" s="15" t="str">
        <x:f>IF('Master Schedule'!A7="","",'Master Schedule'!F7&amp;"")</x:f>
        <x:v>How does protein structure create biological function?</x:v>
      </x:c>
      <x:c r="G9" s="15" t="str">
        <x:f>IF('Master Schedule'!A7="","",'Master Schedule'!G7&amp;"")</x:f>
      </x:c>
      <x:c r="H9" s="15" t="str">
        <x:f>IF('Master Schedule'!A7="","",'Master Schedule'!H7&amp;"")</x:f>
      </x:c>
      <x:c r="I9" s="15" t="str">
        <x:f>IF('Master Schedule'!A7="","",'Master Schedule'!I7&amp;"")</x:f>
      </x:c>
      <x:c r="J9" s="15" t="str">
        <x:f>IF('Master Schedule'!A7="","",'Master Schedule'!J7&amp;"")</x:f>
        <x:v>Adaptive Quiz Ch 4 due 11:59 PM</x:v>
      </x:c>
      <x:c r="K9" s="15" t="str">
        <x:f>IF('Master Schedule'!A7="","",'Master Schedule'!K7&amp;"")</x:f>
      </x:c>
      <x:c r="L9" s="15" t="str">
        <x:f>IF('Master Schedule'!A7="","",'Master Schedule'!L7&amp;"")</x:f>
      </x:c>
      <x:c r="M9" s="15" t="str">
        <x:f>IF('Master Schedule'!A7="","",'Master Schedule'!M7&amp;"")</x:f>
        <x:v>Adaptive Quiz Ch 4 due 11:59 PM</x:v>
      </x:c>
    </x:row>
    <x:row r="10">
      <x:c r="A10" s="15" t="str">
        <x:f>IF('Master Schedule'!A8="","",'Master Schedule'!A8)</x:f>
        <x:v>2025-07-20</x:v>
      </x:c>
      <x:c r="B10" s="15" t="n">
        <x:f>IF('Master Schedule'!A8="","",'Master Schedule'!B8)</x:f>
        <x:v>1</x:v>
      </x:c>
      <x:c r="C10" s="15" t="str">
        <x:f>IF('Master Schedule'!A8="","",'Master Schedule'!C8&amp;"")</x:f>
        <x:v>Sunday</x:v>
      </x:c>
      <x:c r="D10" s="15" t="str">
        <x:f>IF('Master Schedule'!A8="","",'Master Schedule'!D8&amp;"")</x:f>
        <x:v>Homework</x:v>
      </x:c>
      <x:c r="E10" s="15" t="str">
        <x:f>IF('Master Schedule'!A8="","",'Master Schedule'!E8&amp;"")</x:f>
        <x:v>1-4</x:v>
      </x:c>
      <x:c r="F10" s="15" t="str">
        <x:f>IF('Master Schedule'!A8="","",'Master Schedule'!F8&amp;"")</x:f>
        <x:v>How do these concepts connect across chapters 1-4?</x:v>
      </x:c>
      <x:c r="G10" s="15" t="str">
        <x:f>IF('Master Schedule'!A8="","",'Master Schedule'!G8&amp;"")</x:f>
      </x:c>
      <x:c r="H10" s="15" t="str">
        <x:f>IF('Master Schedule'!A8="","",'Master Schedule'!H8&amp;"")</x:f>
      </x:c>
      <x:c r="I10" s="15" t="str">
        <x:f>IF('Master Schedule'!A8="","",'Master Schedule'!I8&amp;"")</x:f>
      </x:c>
      <x:c r="J10" s="15" t="str">
        <x:f>IF('Master Schedule'!A8="","",'Master Schedule'!J8&amp;"")</x:f>
      </x:c>
      <x:c r="K10" s="15" t="str">
        <x:f>IF('Master Schedule'!A8="","",'Master Schedule'!K8&amp;"")</x:f>
        <x:v>Homework Chapters 1-4 due 11:59 PM</x:v>
      </x:c>
      <x:c r="L10" s="15" t="str">
        <x:f>IF('Master Schedule'!A8="","",'Master Schedule'!L8&amp;"")</x:f>
      </x:c>
      <x:c r="M10" s="15" t="str">
        <x:f>IF('Master Schedule'!A8="","",'Master Schedule'!M8&amp;"")</x:f>
        <x:v>Homework Chapters 1-4 due 11:59 PM</x:v>
      </x:c>
    </x:row>
    <x:row r="11">
      <x:c r="A11" s="15" t="str">
        <x:f>IF('Master Schedule'!A9="","",'Master Schedule'!A9)</x:f>
        <x:v>2025-07-21</x:v>
      </x:c>
      <x:c r="B11" s="15" t="n">
        <x:f>IF('Master Schedule'!A9="","",'Master Schedule'!B9)</x:f>
        <x:v>2</x:v>
      </x:c>
      <x:c r="C11" s="15" t="str">
        <x:f>IF('Master Schedule'!A9="","",'Master Schedule'!C9&amp;"")</x:f>
        <x:v>Monday</x:v>
      </x:c>
      <x:c r="D11" s="15" t="str">
        <x:f>IF('Master Schedule'!A9="","",'Master Schedule'!D9&amp;"")</x:f>
        <x:v>Lecture</x:v>
      </x:c>
      <x:c r="E11" s="15" t="str">
        <x:f>IF('Master Schedule'!A9="","",'Master Schedule'!E9&amp;"")</x:f>
        <x:v>5</x:v>
      </x:c>
      <x:c r="F11" s="15" t="str">
        <x:f>IF('Master Schedule'!A9="","",'Master Schedule'!F9&amp;"")</x:f>
        <x:v>How do proteins recognize and bind specific molecules?</x:v>
      </x:c>
      <x:c r="G11" s="15" t="str">
        <x:f>IF('Master Schedule'!A9="","",'Master Schedule'!G9&amp;"")</x:f>
        <x:v>5.1-5.4</x:v>
      </x:c>
      <x:c r="H11" s="15" t="str">
        <x:f>IF('Master Schedule'!A9="","",'Master Schedule'!H9&amp;"")</x:f>
        <x:v>Chapter 5: Protein Function and Ligand Binding</x:v>
      </x:c>
      <x:c r="I11" s="15" t="str">
        <x:f>IF('Master Schedule'!A9="","",'Master Schedule'!I9&amp;"")</x:f>
      </x:c>
      <x:c r="J11" s="15" t="str">
        <x:f>IF('Master Schedule'!A9="","",'Master Schedule'!J9&amp;"")</x:f>
      </x:c>
      <x:c r="K11" s="15" t="str">
        <x:f>IF('Master Schedule'!A9="","",'Master Schedule'!K9&amp;"")</x:f>
      </x:c>
      <x:c r="L11" s="15" t="str">
        <x:f>IF('Master Schedule'!A9="","",'Master Schedule'!L9&amp;"")</x:f>
      </x:c>
      <x:c r="M11" s="15" t="str">
        <x:f>IF('Master Schedule'!A9="","",'Master Schedule'!M9&amp;"")</x:f>
        <x:v>Chapter 5: Protein Function and Ligand Binding</x:v>
      </x:c>
    </x:row>
    <x:row r="12">
      <x:c r="A12" s="15" t="str">
        <x:f>IF('Master Schedule'!A10="","",'Master Schedule'!A10)</x:f>
        <x:v>2025-07-22</x:v>
      </x:c>
      <x:c r="B12" s="15" t="n">
        <x:f>IF('Master Schedule'!A10="","",'Master Schedule'!B10)</x:f>
        <x:v>2</x:v>
      </x:c>
      <x:c r="C12" s="15" t="str">
        <x:f>IF('Master Schedule'!A10="","",'Master Schedule'!C10&amp;"")</x:f>
        <x:v>Tuesday</x:v>
      </x:c>
      <x:c r="D12" s="15" t="str">
        <x:f>IF('Master Schedule'!A10="","",'Master Schedule'!D10&amp;"")</x:f>
        <x:v>Exam</x:v>
      </x:c>
      <x:c r="E12" s="15" t="str">
        <x:f>IF('Master Schedule'!A10="","",'Master Schedule'!E10&amp;"")</x:f>
        <x:v>1-4</x:v>
      </x:c>
      <x:c r="F12" s="15" t="str">
        <x:f>IF('Master Schedule'!A10="","",'Master Schedule'!F10&amp;"")</x:f>
        <x:v>How do these concepts connect across chapters 1-4?</x:v>
      </x:c>
      <x:c r="G12" s="15" t="str">
        <x:f>IF('Master Schedule'!A10="","",'Master Schedule'!G10&amp;"")</x:f>
      </x:c>
      <x:c r="H12" s="15" t="str">
        <x:f>IF('Master Schedule'!A10="","",'Master Schedule'!H10&amp;"")</x:f>
        <x:v>Exam 1</x:v>
      </x:c>
      <x:c r="I12" s="15" t="str">
        <x:f>IF('Master Schedule'!A10="","",'Master Schedule'!I10&amp;"")</x:f>
      </x:c>
      <x:c r="J12" s="15" t="str">
        <x:f>IF('Master Schedule'!A10="","",'Master Schedule'!J10&amp;"")</x:f>
      </x:c>
      <x:c r="K12" s="15" t="str">
        <x:f>IF('Master Schedule'!A10="","",'Master Schedule'!K10&amp;"")</x:f>
      </x:c>
      <x:c r="L12" s="15" t="str">
        <x:f>IF('Master Schedule'!A10="","",'Master Schedule'!L10&amp;"")</x:f>
        <x:v>Exam 1 Chapters 1-4 due 11:59 PM</x:v>
      </x:c>
      <x:c r="M12" s="15" t="str">
        <x:f>IF('Master Schedule'!A10="","",'Master Schedule'!M10&amp;"")</x:f>
        <x:v>EXAM 1 | Exam 1 | Exam 1 Chapters 1-4 due 11:59 PM</x:v>
      </x:c>
    </x:row>
    <x:row r="13">
      <x:c r="A13" s="15" t="str">
        <x:f>IF('Master Schedule'!A11="","",'Master Schedule'!A11)</x:f>
        <x:v>2025-07-23</x:v>
      </x:c>
      <x:c r="B13" s="15" t="n">
        <x:f>IF('Master Schedule'!A11="","",'Master Schedule'!B11)</x:f>
        <x:v>2</x:v>
      </x:c>
      <x:c r="C13" s="15" t="str">
        <x:f>IF('Master Schedule'!A11="","",'Master Schedule'!C11&amp;"")</x:f>
        <x:v>Wednesday</x:v>
      </x:c>
      <x:c r="D13" s="15" t="str">
        <x:f>IF('Master Schedule'!A11="","",'Master Schedule'!D11&amp;"")</x:f>
        <x:v>Lecture</x:v>
      </x:c>
      <x:c r="E13" s="15" t="str">
        <x:f>IF('Master Schedule'!A11="","",'Master Schedule'!E11&amp;"")</x:f>
        <x:v>6</x:v>
      </x:c>
      <x:c r="F13" s="15" t="str">
        <x:f>IF('Master Schedule'!A11="","",'Master Schedule'!F11&amp;"")</x:f>
        <x:v>How do enzymes accelerate reactions and regulate cellular chemistry?</x:v>
      </x:c>
      <x:c r="G13" s="15" t="str">
        <x:f>IF('Master Schedule'!A11="","",'Master Schedule'!G11&amp;"")</x:f>
        <x:v>6.1-6.2</x:v>
      </x:c>
      <x:c r="H13" s="15" t="str">
        <x:f>IF('Master Schedule'!A11="","",'Master Schedule'!H11&amp;"")</x:f>
        <x:v>Chapter 6: Protein Functions and Enzymes</x:v>
      </x:c>
      <x:c r="I13" s="15" t="str">
        <x:f>IF('Master Schedule'!A11="","",'Master Schedule'!I11&amp;"")</x:f>
        <x:v>General overview of catalysis</x:v>
      </x:c>
      <x:c r="J13" s="15" t="str">
        <x:f>IF('Master Schedule'!A11="","",'Master Schedule'!J11&amp;"")</x:f>
        <x:v>Adaptive Quiz Ch 5 due 11:59 PM</x:v>
      </x:c>
      <x:c r="K13" s="15" t="str">
        <x:f>IF('Master Schedule'!A11="","",'Master Schedule'!K11&amp;"")</x:f>
      </x:c>
      <x:c r="L13" s="15" t="str">
        <x:f>IF('Master Schedule'!A11="","",'Master Schedule'!L11&amp;"")</x:f>
      </x:c>
      <x:c r="M13" s="15" t="str">
        <x:f>IF('Master Schedule'!A11="","",'Master Schedule'!M11&amp;"")</x:f>
        <x:v>Chapter 6: Protein Functions and Enzymes | Adaptive Quiz Ch 5 due 11:59 PM</x:v>
      </x:c>
    </x:row>
    <x:row r="14">
      <x:c r="A14" s="15" t="str">
        <x:f>IF('Master Schedule'!A12="","",'Master Schedule'!A12)</x:f>
        <x:v>2025-07-24</x:v>
      </x:c>
      <x:c r="B14" s="15" t="n">
        <x:f>IF('Master Schedule'!A12="","",'Master Schedule'!B12)</x:f>
        <x:v>2</x:v>
      </x:c>
      <x:c r="C14" s="15" t="str">
        <x:f>IF('Master Schedule'!A12="","",'Master Schedule'!C12&amp;"")</x:f>
        <x:v>Thursday</x:v>
      </x:c>
      <x:c r="D14" s="15" t="str">
        <x:f>IF('Master Schedule'!A12="","",'Master Schedule'!D12&amp;"")</x:f>
        <x:v>Lecture</x:v>
      </x:c>
      <x:c r="E14" s="15" t="str">
        <x:f>IF('Master Schedule'!A12="","",'Master Schedule'!E12&amp;"")</x:f>
        <x:v>6</x:v>
      </x:c>
      <x:c r="F14" s="15" t="str">
        <x:f>IF('Master Schedule'!A12="","",'Master Schedule'!F12&amp;"")</x:f>
        <x:v>How do enzymes accelerate reactions and regulate cellular chemistry?</x:v>
      </x:c>
      <x:c r="G14" s="15" t="str">
        <x:f>IF('Master Schedule'!A12="","",'Master Schedule'!G12&amp;"")</x:f>
        <x:v>6.3</x:v>
      </x:c>
      <x:c r="H14" s="15" t="str">
        <x:f>IF('Master Schedule'!A12="","",'Master Schedule'!H12&amp;"")</x:f>
        <x:v>Chapter 6 continued</x:v>
      </x:c>
      <x:c r="I14" s="15" t="str">
        <x:f>IF('Master Schedule'!A12="","",'Master Schedule'!I12&amp;"")</x:f>
        <x:v>Kinetics and mechanism</x:v>
      </x:c>
      <x:c r="J14" s="15" t="str">
        <x:f>IF('Master Schedule'!A12="","",'Master Schedule'!J12&amp;"")</x:f>
      </x:c>
      <x:c r="K14" s="15" t="str">
        <x:f>IF('Master Schedule'!A12="","",'Master Schedule'!K12&amp;"")</x:f>
      </x:c>
      <x:c r="L14" s="15" t="str">
        <x:f>IF('Master Schedule'!A12="","",'Master Schedule'!L12&amp;"")</x:f>
      </x:c>
      <x:c r="M14" s="15" t="str">
        <x:f>IF('Master Schedule'!A12="","",'Master Schedule'!M12&amp;"")</x:f>
        <x:v>Chapter 6 continued</x:v>
      </x:c>
    </x:row>
    <x:row r="15">
      <x:c r="A15" s="15" t="str">
        <x:f>IF('Master Schedule'!A13="","",'Master Schedule'!A13)</x:f>
        <x:v>2025-07-25</x:v>
      </x:c>
      <x:c r="B15" s="15" t="n">
        <x:f>IF('Master Schedule'!A13="","",'Master Schedule'!B13)</x:f>
        <x:v>2</x:v>
      </x:c>
      <x:c r="C15" s="15" t="str">
        <x:f>IF('Master Schedule'!A13="","",'Master Schedule'!C13&amp;"")</x:f>
        <x:v>Friday</x:v>
      </x:c>
      <x:c r="D15" s="15" t="str">
        <x:f>IF('Master Schedule'!A13="","",'Master Schedule'!D13&amp;"")</x:f>
        <x:v>Lecture</x:v>
      </x:c>
      <x:c r="E15" s="15" t="str">
        <x:f>IF('Master Schedule'!A13="","",'Master Schedule'!E13&amp;"")</x:f>
        <x:v>6</x:v>
      </x:c>
      <x:c r="F15" s="15" t="str">
        <x:f>IF('Master Schedule'!A13="","",'Master Schedule'!F13&amp;"")</x:f>
        <x:v>How do enzymes accelerate reactions and regulate cellular chemistry?</x:v>
      </x:c>
      <x:c r="G15" s="15" t="str">
        <x:f>IF('Master Schedule'!A13="","",'Master Schedule'!G13&amp;"")</x:f>
        <x:v>6.4-6.5</x:v>
      </x:c>
      <x:c r="H15" s="15" t="str">
        <x:f>IF('Master Schedule'!A13="","",'Master Schedule'!H13&amp;"")</x:f>
        <x:v>Chapter 6 continued</x:v>
      </x:c>
      <x:c r="I15" s="15" t="str">
        <x:f>IF('Master Schedule'!A13="","",'Master Schedule'!I13&amp;"")</x:f>
        <x:v>Regulation</x:v>
      </x:c>
      <x:c r="J15" s="15" t="str">
        <x:f>IF('Master Schedule'!A13="","",'Master Schedule'!J13&amp;"")</x:f>
      </x:c>
      <x:c r="K15" s="15" t="str">
        <x:f>IF('Master Schedule'!A13="","",'Master Schedule'!K13&amp;"")</x:f>
      </x:c>
      <x:c r="L15" s="15" t="str">
        <x:f>IF('Master Schedule'!A13="","",'Master Schedule'!L13&amp;"")</x:f>
      </x:c>
      <x:c r="M15" s="15" t="str">
        <x:f>IF('Master Schedule'!A13="","",'Master Schedule'!M13&amp;"")</x:f>
        <x:v>Chapter 6 continued</x:v>
      </x:c>
    </x:row>
    <x:row r="16">
      <x:c r="A16" s="15" t="str">
        <x:f>IF('Master Schedule'!A14="","",'Master Schedule'!A14)</x:f>
        <x:v>2025-07-26</x:v>
      </x:c>
      <x:c r="B16" s="15" t="n">
        <x:f>IF('Master Schedule'!A14="","",'Master Schedule'!B14)</x:f>
        <x:v>2</x:v>
      </x:c>
      <x:c r="C16" s="15" t="str">
        <x:f>IF('Master Schedule'!A14="","",'Master Schedule'!C14&amp;"")</x:f>
        <x:v>Saturday</x:v>
      </x:c>
      <x:c r="D16" s="15" t="str">
        <x:f>IF('Master Schedule'!A14="","",'Master Schedule'!D14&amp;"")</x:f>
        <x:v>Async/Quiz</x:v>
      </x:c>
      <x:c r="E16" s="15" t="str">
        <x:f>IF('Master Schedule'!A14="","",'Master Schedule'!E14&amp;"")</x:f>
        <x:v>6</x:v>
      </x:c>
      <x:c r="F16" s="15" t="str">
        <x:f>IF('Master Schedule'!A14="","",'Master Schedule'!F14&amp;"")</x:f>
        <x:v>How do enzymes accelerate reactions and regulate cellular chemistry?</x:v>
      </x:c>
      <x:c r="G16" s="15" t="str">
        <x:f>IF('Master Schedule'!A14="","",'Master Schedule'!G14&amp;"")</x:f>
      </x:c>
      <x:c r="H16" s="15" t="str">
        <x:f>IF('Master Schedule'!A14="","",'Master Schedule'!H14&amp;"")</x:f>
      </x:c>
      <x:c r="I16" s="15" t="str">
        <x:f>IF('Master Schedule'!A14="","",'Master Schedule'!I14&amp;"")</x:f>
      </x:c>
      <x:c r="J16" s="15" t="str">
        <x:f>IF('Master Schedule'!A14="","",'Master Schedule'!J14&amp;"")</x:f>
        <x:v>Adaptive Quiz Ch 6 due 11:59 PM</x:v>
      </x:c>
      <x:c r="K16" s="15" t="str">
        <x:f>IF('Master Schedule'!A14="","",'Master Schedule'!K14&amp;"")</x:f>
      </x:c>
      <x:c r="L16" s="15" t="str">
        <x:f>IF('Master Schedule'!A14="","",'Master Schedule'!L14&amp;"")</x:f>
      </x:c>
      <x:c r="M16" s="15" t="str">
        <x:f>IF('Master Schedule'!A14="","",'Master Schedule'!M14&amp;"")</x:f>
        <x:v>Adaptive Quiz Ch 6 due 11:59 PM</x:v>
      </x:c>
    </x:row>
    <x:row r="17">
      <x:c r="A17" s="15" t="str">
        <x:f>IF('Master Schedule'!A15="","",'Master Schedule'!A15)</x:f>
        <x:v>2025-07-27</x:v>
      </x:c>
      <x:c r="B17" s="15" t="n">
        <x:f>IF('Master Schedule'!A15="","",'Master Schedule'!B15)</x:f>
        <x:v>2</x:v>
      </x:c>
      <x:c r="C17" s="15" t="str">
        <x:f>IF('Master Schedule'!A15="","",'Master Schedule'!C15&amp;"")</x:f>
        <x:v>Sunday</x:v>
      </x:c>
      <x:c r="D17" s="15" t="str">
        <x:f>IF('Master Schedule'!A15="","",'Master Schedule'!D15&amp;"")</x:f>
        <x:v>Homework</x:v>
      </x:c>
      <x:c r="E17" s="15" t="str">
        <x:f>IF('Master Schedule'!A15="","",'Master Schedule'!E15&amp;"")</x:f>
        <x:v>5-6</x:v>
      </x:c>
      <x:c r="F17" s="15" t="str">
        <x:f>IF('Master Schedule'!A15="","",'Master Schedule'!F15&amp;"")</x:f>
        <x:v>How do these concepts connect across chapters 5-6?</x:v>
      </x:c>
      <x:c r="G17" s="15" t="str">
        <x:f>IF('Master Schedule'!A15="","",'Master Schedule'!G15&amp;"")</x:f>
      </x:c>
      <x:c r="H17" s="15" t="str">
        <x:f>IF('Master Schedule'!A15="","",'Master Schedule'!H15&amp;"")</x:f>
      </x:c>
      <x:c r="I17" s="15" t="str">
        <x:f>IF('Master Schedule'!A15="","",'Master Schedule'!I15&amp;"")</x:f>
      </x:c>
      <x:c r="J17" s="15" t="str">
        <x:f>IF('Master Schedule'!A15="","",'Master Schedule'!J15&amp;"")</x:f>
      </x:c>
      <x:c r="K17" s="15" t="str">
        <x:f>IF('Master Schedule'!A15="","",'Master Schedule'!K15&amp;"")</x:f>
        <x:v>Homework Chapters 5-6 due 11:59 PM</x:v>
      </x:c>
      <x:c r="L17" s="15" t="str">
        <x:f>IF('Master Schedule'!A15="","",'Master Schedule'!L15&amp;"")</x:f>
      </x:c>
      <x:c r="M17" s="15" t="str">
        <x:f>IF('Master Schedule'!A15="","",'Master Schedule'!M15&amp;"")</x:f>
        <x:v>Homework Chapters 5-6 due 11:59 PM</x:v>
      </x:c>
    </x:row>
    <x:row r="18">
      <x:c r="A18" s="15" t="str">
        <x:f>IF('Master Schedule'!A16="","",'Master Schedule'!A16)</x:f>
        <x:v>2025-07-28</x:v>
      </x:c>
      <x:c r="B18" s="15" t="n">
        <x:f>IF('Master Schedule'!A16="","",'Master Schedule'!B16)</x:f>
        <x:v>3</x:v>
      </x:c>
      <x:c r="C18" s="15" t="str">
        <x:f>IF('Master Schedule'!A16="","",'Master Schedule'!C16&amp;"")</x:f>
        <x:v>Monday</x:v>
      </x:c>
      <x:c r="D18" s="15" t="str">
        <x:f>IF('Master Schedule'!A16="","",'Master Schedule'!D16&amp;"")</x:f>
        <x:v>Lecture</x:v>
      </x:c>
      <x:c r="E18" s="15" t="str">
        <x:f>IF('Master Schedule'!A16="","",'Master Schedule'!E16&amp;"")</x:f>
        <x:v>7</x:v>
      </x:c>
      <x:c r="F18" s="15" t="str">
        <x:f>IF('Master Schedule'!A16="","",'Master Schedule'!F16&amp;"")</x:f>
        <x:v>How do carbohydrates store information, energy, and structure?</x:v>
      </x:c>
      <x:c r="G18" s="15" t="str">
        <x:f>IF('Master Schedule'!A16="","",'Master Schedule'!G16&amp;"")</x:f>
        <x:v>7.1-7.2</x:v>
      </x:c>
      <x:c r="H18" s="15" t="str">
        <x:f>IF('Master Schedule'!A16="","",'Master Schedule'!H16&amp;"")</x:f>
        <x:v>Chapter 7: Carbohydrates</x:v>
      </x:c>
      <x:c r="I18" s="15" t="str">
        <x:f>IF('Master Schedule'!A16="","",'Master Schedule'!I16&amp;"")</x:f>
        <x:v>Mono-, di-, polysaccharides</x:v>
      </x:c>
      <x:c r="J18" s="15" t="str">
        <x:f>IF('Master Schedule'!A16="","",'Master Schedule'!J16&amp;"")</x:f>
      </x:c>
      <x:c r="K18" s="15" t="str">
        <x:f>IF('Master Schedule'!A16="","",'Master Schedule'!K16&amp;"")</x:f>
      </x:c>
      <x:c r="L18" s="15" t="str">
        <x:f>IF('Master Schedule'!A16="","",'Master Schedule'!L16&amp;"")</x:f>
      </x:c>
      <x:c r="M18" s="15" t="str">
        <x:f>IF('Master Schedule'!A16="","",'Master Schedule'!M16&amp;"")</x:f>
        <x:v>Chapter 7: Carbohydrates</x:v>
      </x:c>
    </x:row>
    <x:row r="19">
      <x:c r="A19" s="15" t="str">
        <x:f>IF('Master Schedule'!A17="","",'Master Schedule'!A17)</x:f>
        <x:v>2025-07-29</x:v>
      </x:c>
      <x:c r="B19" s="15" t="n">
        <x:f>IF('Master Schedule'!A17="","",'Master Schedule'!B17)</x:f>
        <x:v>3</x:v>
      </x:c>
      <x:c r="C19" s="15" t="str">
        <x:f>IF('Master Schedule'!A17="","",'Master Schedule'!C17&amp;"")</x:f>
        <x:v>Tuesday</x:v>
      </x:c>
      <x:c r="D19" s="15" t="str">
        <x:f>IF('Master Schedule'!A17="","",'Master Schedule'!D17&amp;"")</x:f>
        <x:v>Lecture</x:v>
      </x:c>
      <x:c r="E19" s="15" t="str">
        <x:f>IF('Master Schedule'!A17="","",'Master Schedule'!E17&amp;"")</x:f>
        <x:v>7</x:v>
      </x:c>
      <x:c r="F19" s="15" t="str">
        <x:f>IF('Master Schedule'!A17="","",'Master Schedule'!F17&amp;"")</x:f>
        <x:v>How do carbohydrates store information, energy, and structure?</x:v>
      </x:c>
      <x:c r="G19" s="15" t="str">
        <x:f>IF('Master Schedule'!A17="","",'Master Schedule'!G17&amp;"")</x:f>
        <x:v>7.3-7.4</x:v>
      </x:c>
      <x:c r="H19" s="15" t="str">
        <x:f>IF('Master Schedule'!A17="","",'Master Schedule'!H17&amp;"")</x:f>
        <x:v>Chapter 7: Carbohydrates continued</x:v>
      </x:c>
      <x:c r="I19" s="15" t="str">
        <x:f>IF('Master Schedule'!A17="","",'Master Schedule'!I17&amp;"")</x:f>
      </x:c>
      <x:c r="J19" s="15" t="str">
        <x:f>IF('Master Schedule'!A17="","",'Master Schedule'!J17&amp;"")</x:f>
      </x:c>
      <x:c r="K19" s="15" t="str">
        <x:f>IF('Master Schedule'!A17="","",'Master Schedule'!K17&amp;"")</x:f>
      </x:c>
      <x:c r="L19" s="15" t="str">
        <x:f>IF('Master Schedule'!A17="","",'Master Schedule'!L17&amp;"")</x:f>
      </x:c>
      <x:c r="M19" s="15" t="str">
        <x:f>IF('Master Schedule'!A17="","",'Master Schedule'!M17&amp;"")</x:f>
        <x:v>Chapter 7: Carbohydrates continued</x:v>
      </x:c>
    </x:row>
    <x:row r="20">
      <x:c r="A20" s="15" t="str">
        <x:f>IF('Master Schedule'!A18="","",'Master Schedule'!A18)</x:f>
        <x:v>2025-07-30</x:v>
      </x:c>
      <x:c r="B20" s="15" t="n">
        <x:f>IF('Master Schedule'!A18="","",'Master Schedule'!B18)</x:f>
        <x:v>3</x:v>
      </x:c>
      <x:c r="C20" s="15" t="str">
        <x:f>IF('Master Schedule'!A18="","",'Master Schedule'!C18&amp;"")</x:f>
        <x:v>Wednesday</x:v>
      </x:c>
      <x:c r="D20" s="15" t="str">
        <x:f>IF('Master Schedule'!A18="","",'Master Schedule'!D18&amp;"")</x:f>
        <x:v>Lecture</x:v>
      </x:c>
      <x:c r="E20" s="15" t="str">
        <x:f>IF('Master Schedule'!A18="","",'Master Schedule'!E18&amp;"")</x:f>
        <x:v>8</x:v>
      </x:c>
      <x:c r="F20" s="15" t="str">
        <x:f>IF('Master Schedule'!A18="","",'Master Schedule'!F18&amp;"")</x:f>
        <x:v>How do lipids and membranes organize cellular boundaries and signaling?</x:v>
      </x:c>
      <x:c r="G20" s="15" t="str">
        <x:f>IF('Master Schedule'!A18="","",'Master Schedule'!G18&amp;"")</x:f>
        <x:v>8.1-8.3</x:v>
      </x:c>
      <x:c r="H20" s="15" t="str">
        <x:f>IF('Master Schedule'!A18="","",'Master Schedule'!H18&amp;"")</x:f>
        <x:v>Chapter 8: Lipids, membranes, and membrane proteins</x:v>
      </x:c>
      <x:c r="I20" s="15" t="str">
        <x:f>IF('Master Schedule'!A18="","",'Master Schedule'!I18&amp;"")</x:f>
        <x:v>Membrane structure and role in signaling</x:v>
      </x:c>
      <x:c r="J20" s="15" t="str">
        <x:f>IF('Master Schedule'!A18="","",'Master Schedule'!J18&amp;"")</x:f>
        <x:v>Adaptive Quiz Ch 7 due 11:59 PM</x:v>
      </x:c>
      <x:c r="K20" s="15" t="str">
        <x:f>IF('Master Schedule'!A18="","",'Master Schedule'!K18&amp;"")</x:f>
      </x:c>
      <x:c r="L20" s="15" t="str">
        <x:f>IF('Master Schedule'!A18="","",'Master Schedule'!L18&amp;"")</x:f>
      </x:c>
      <x:c r="M20" s="15" t="str">
        <x:f>IF('Master Schedule'!A18="","",'Master Schedule'!M18&amp;"")</x:f>
        <x:v>Chapter 8: Lipids, membranes, and membrane proteins | Adaptive Quiz Ch 7 due 11:59 PM</x:v>
      </x:c>
    </x:row>
    <x:row r="21">
      <x:c r="A21" s="15" t="str">
        <x:f>IF('Master Schedule'!A19="","",'Master Schedule'!A19)</x:f>
        <x:v>2025-07-31</x:v>
      </x:c>
      <x:c r="B21" s="15" t="n">
        <x:f>IF('Master Schedule'!A19="","",'Master Schedule'!B19)</x:f>
        <x:v>3</x:v>
      </x:c>
      <x:c r="C21" s="15" t="str">
        <x:f>IF('Master Schedule'!A19="","",'Master Schedule'!C19&amp;"")</x:f>
        <x:v>Thursday</x:v>
      </x:c>
      <x:c r="D21" s="15" t="str">
        <x:f>IF('Master Schedule'!A19="","",'Master Schedule'!D19&amp;"")</x:f>
        <x:v>Lecture</x:v>
      </x:c>
      <x:c r="E21" s="15" t="str">
        <x:f>IF('Master Schedule'!A19="","",'Master Schedule'!E19&amp;"")</x:f>
        <x:v>13</x:v>
      </x:c>
      <x:c r="F21" s="15" t="str">
        <x:f>IF('Master Schedule'!A19="","",'Master Schedule'!F19&amp;"")</x:f>
        <x:v>How do cells organize metabolism and manage energy?</x:v>
      </x:c>
      <x:c r="G21" s="15" t="str">
        <x:f>IF('Master Schedule'!A19="","",'Master Schedule'!G19&amp;"")</x:f>
        <x:v>13.1-13.2</x:v>
      </x:c>
      <x:c r="H21" s="15" t="str">
        <x:f>IF('Master Schedule'!A19="","",'Master Schedule'!H19&amp;"")</x:f>
        <x:v>Chapter 13: Introduction to intermediary metabolism</x:v>
      </x:c>
      <x:c r="I21" s="15" t="str">
        <x:f>IF('Master Schedule'!A19="","",'Master Schedule'!I19&amp;"")</x:f>
        <x:v>Metabolism and energetics overview</x:v>
      </x:c>
      <x:c r="J21" s="15" t="str">
        <x:f>IF('Master Schedule'!A19="","",'Master Schedule'!J19&amp;"")</x:f>
        <x:v>Adaptive Quiz Ch 8 due 11:59 PM</x:v>
      </x:c>
      <x:c r="K21" s="15" t="str">
        <x:f>IF('Master Schedule'!A19="","",'Master Schedule'!K19&amp;"")</x:f>
      </x:c>
      <x:c r="L21" s="15" t="str">
        <x:f>IF('Master Schedule'!A19="","",'Master Schedule'!L19&amp;"")</x:f>
      </x:c>
      <x:c r="M21" s="15" t="str">
        <x:f>IF('Master Schedule'!A19="","",'Master Schedule'!M19&amp;"")</x:f>
        <x:v>Chapter 13: Introduction to intermediary metabolism | Adaptive Quiz Ch 8 due 11:59 PM</x:v>
      </x:c>
    </x:row>
    <x:row r="22">
      <x:c r="A22" s="15" t="str">
        <x:f>IF('Master Schedule'!A20="","",'Master Schedule'!A20)</x:f>
        <x:v>2025-08-01</x:v>
      </x:c>
      <x:c r="B22" s="15" t="n">
        <x:f>IF('Master Schedule'!A20="","",'Master Schedule'!B20)</x:f>
        <x:v>3</x:v>
      </x:c>
      <x:c r="C22" s="15" t="str">
        <x:f>IF('Master Schedule'!A20="","",'Master Schedule'!C20&amp;"")</x:f>
        <x:v>Friday</x:v>
      </x:c>
      <x:c r="D22" s="15" t="str">
        <x:f>IF('Master Schedule'!A20="","",'Master Schedule'!D20&amp;"")</x:f>
        <x:v>Lecture</x:v>
      </x:c>
      <x:c r="E22" s="15" t="str">
        <x:f>IF('Master Schedule'!A20="","",'Master Schedule'!E20&amp;"")</x:f>
        <x:v>13</x:v>
      </x:c>
      <x:c r="F22" s="15" t="str">
        <x:f>IF('Master Schedule'!A20="","",'Master Schedule'!F20&amp;"")</x:f>
        <x:v>How do cells organize metabolism and manage energy?</x:v>
      </x:c>
      <x:c r="G22" s="15" t="str">
        <x:f>IF('Master Schedule'!A20="","",'Master Schedule'!G20&amp;"")</x:f>
        <x:v>13.3-13.5</x:v>
      </x:c>
      <x:c r="H22" s="15" t="str">
        <x:f>IF('Master Schedule'!A20="","",'Master Schedule'!H20&amp;"")</x:f>
        <x:v>Chapter 13: Introduction to intermediary metabolism</x:v>
      </x:c>
      <x:c r="I22" s="15" t="str">
        <x:f>IF('Master Schedule'!A20="","",'Master Schedule'!I20&amp;"")</x:f>
        <x:v>Metabolism and energetics overview</x:v>
      </x:c>
      <x:c r="J22" s="15" t="str">
        <x:f>IF('Master Schedule'!A20="","",'Master Schedule'!J20&amp;"")</x:f>
      </x:c>
      <x:c r="K22" s="15" t="str">
        <x:f>IF('Master Schedule'!A20="","",'Master Schedule'!K20&amp;"")</x:f>
      </x:c>
      <x:c r="L22" s="15" t="str">
        <x:f>IF('Master Schedule'!A20="","",'Master Schedule'!L20&amp;"")</x:f>
      </x:c>
      <x:c r="M22" s="15" t="str">
        <x:f>IF('Master Schedule'!A20="","",'Master Schedule'!M20&amp;"")</x:f>
        <x:v>Chapter 13: Introduction to intermediary metabolism</x:v>
      </x:c>
    </x:row>
    <x:row r="23">
      <x:c r="A23" s="15" t="str">
        <x:f>IF('Master Schedule'!A21="","",'Master Schedule'!A21)</x:f>
        <x:v>2025-08-02</x:v>
      </x:c>
      <x:c r="B23" s="15" t="n">
        <x:f>IF('Master Schedule'!A21="","",'Master Schedule'!B21)</x:f>
        <x:v>3</x:v>
      </x:c>
      <x:c r="C23" s="15" t="str">
        <x:f>IF('Master Schedule'!A21="","",'Master Schedule'!C21&amp;"")</x:f>
        <x:v>Saturday</x:v>
      </x:c>
      <x:c r="D23" s="15" t="str">
        <x:f>IF('Master Schedule'!A21="","",'Master Schedule'!D21&amp;"")</x:f>
        <x:v>Async/Quiz</x:v>
      </x:c>
      <x:c r="E23" s="15" t="str">
        <x:f>IF('Master Schedule'!A21="","",'Master Schedule'!E21&amp;"")</x:f>
        <x:v>13</x:v>
      </x:c>
      <x:c r="F23" s="15" t="str">
        <x:f>IF('Master Schedule'!A21="","",'Master Schedule'!F21&amp;"")</x:f>
        <x:v>How do cells organize metabolism and manage energy?</x:v>
      </x:c>
      <x:c r="G23" s="15" t="str">
        <x:f>IF('Master Schedule'!A21="","",'Master Schedule'!G21&amp;"")</x:f>
      </x:c>
      <x:c r="H23" s="15" t="str">
        <x:f>IF('Master Schedule'!A21="","",'Master Schedule'!H21&amp;"")</x:f>
      </x:c>
      <x:c r="I23" s="15" t="str">
        <x:f>IF('Master Schedule'!A21="","",'Master Schedule'!I21&amp;"")</x:f>
      </x:c>
      <x:c r="J23" s="15" t="str">
        <x:f>IF('Master Schedule'!A21="","",'Master Schedule'!J21&amp;"")</x:f>
        <x:v>Adaptive Quiz Ch 13 due 11:59 PM</x:v>
      </x:c>
      <x:c r="K23" s="15" t="str">
        <x:f>IF('Master Schedule'!A21="","",'Master Schedule'!K21&amp;"")</x:f>
      </x:c>
      <x:c r="L23" s="15" t="str">
        <x:f>IF('Master Schedule'!A21="","",'Master Schedule'!L21&amp;"")</x:f>
      </x:c>
      <x:c r="M23" s="15" t="str">
        <x:f>IF('Master Schedule'!A21="","",'Master Schedule'!M21&amp;"")</x:f>
        <x:v>Adaptive Quiz Ch 13 due 11:59 PM</x:v>
      </x:c>
    </x:row>
    <x:row r="24">
      <x:c r="A24" s="15" t="str">
        <x:f>IF('Master Schedule'!A22="","",'Master Schedule'!A22)</x:f>
        <x:v>2025-08-03</x:v>
      </x:c>
      <x:c r="B24" s="15" t="n">
        <x:f>IF('Master Schedule'!A22="","",'Master Schedule'!B22)</x:f>
        <x:v>3</x:v>
      </x:c>
      <x:c r="C24" s="15" t="str">
        <x:f>IF('Master Schedule'!A22="","",'Master Schedule'!C22&amp;"")</x:f>
        <x:v>Sunday</x:v>
      </x:c>
      <x:c r="D24" s="15" t="str">
        <x:f>IF('Master Schedule'!A22="","",'Master Schedule'!D22&amp;"")</x:f>
        <x:v>Homework</x:v>
      </x:c>
      <x:c r="E24" s="15" t="str">
        <x:f>IF('Master Schedule'!A22="","",'Master Schedule'!E22&amp;"")</x:f>
        <x:v>7-8,13</x:v>
      </x:c>
      <x:c r="F24" s="15" t="str">
        <x:f>IF('Master Schedule'!A22="","",'Master Schedule'!F22&amp;"")</x:f>
        <x:v>How do these concepts connect across chapters 7-8,13?</x:v>
      </x:c>
      <x:c r="G24" s="15" t="str">
        <x:f>IF('Master Schedule'!A22="","",'Master Schedule'!G22&amp;"")</x:f>
      </x:c>
      <x:c r="H24" s="15" t="str">
        <x:f>IF('Master Schedule'!A22="","",'Master Schedule'!H22&amp;"")</x:f>
      </x:c>
      <x:c r="I24" s="15" t="str">
        <x:f>IF('Master Schedule'!A22="","",'Master Schedule'!I22&amp;"")</x:f>
      </x:c>
      <x:c r="J24" s="15" t="str">
        <x:f>IF('Master Schedule'!A22="","",'Master Schedule'!J22&amp;"")</x:f>
      </x:c>
      <x:c r="K24" s="15" t="str">
        <x:f>IF('Master Schedule'!A22="","",'Master Schedule'!K22&amp;"")</x:f>
        <x:v>Homework Chapters 7-8, 13 due 11:59 PM</x:v>
      </x:c>
      <x:c r="L24" s="15" t="str">
        <x:f>IF('Master Schedule'!A22="","",'Master Schedule'!L22&amp;"")</x:f>
      </x:c>
      <x:c r="M24" s="15" t="str">
        <x:f>IF('Master Schedule'!A22="","",'Master Schedule'!M22&amp;"")</x:f>
        <x:v>Homework Chapters 7-8, 13 due 11:59 PM</x:v>
      </x:c>
    </x:row>
    <x:row r="25">
      <x:c r="A25" s="15" t="str">
        <x:f>IF('Master Schedule'!A23="","",'Master Schedule'!A23)</x:f>
        <x:v>2025-08-04</x:v>
      </x:c>
      <x:c r="B25" s="15" t="n">
        <x:f>IF('Master Schedule'!A23="","",'Master Schedule'!B23)</x:f>
        <x:v>4</x:v>
      </x:c>
      <x:c r="C25" s="15" t="str">
        <x:f>IF('Master Schedule'!A23="","",'Master Schedule'!C23&amp;"")</x:f>
        <x:v>Monday</x:v>
      </x:c>
      <x:c r="D25" s="15" t="str">
        <x:f>IF('Master Schedule'!A23="","",'Master Schedule'!D23&amp;"")</x:f>
        <x:v>Lecture</x:v>
      </x:c>
      <x:c r="E25" s="15" t="str">
        <x:f>IF('Master Schedule'!A23="","",'Master Schedule'!E23&amp;"")</x:f>
        <x:v>14</x:v>
      </x:c>
      <x:c r="F25" s="15" t="str">
        <x:f>IF('Master Schedule'!A23="","",'Master Schedule'!F23&amp;"")</x:f>
        <x:v>How do cells extract energy from glucose?</x:v>
      </x:c>
      <x:c r="G25" s="15" t="str">
        <x:f>IF('Master Schedule'!A23="","",'Master Schedule'!G23&amp;"")</x:f>
        <x:v>14.1-14.2</x:v>
      </x:c>
      <x:c r="H25" s="15" t="str">
        <x:f>IF('Master Schedule'!A23="","",'Master Schedule'!H23&amp;"")</x:f>
        <x:v>Chapter 14: Carbohydrate metabolism Part I</x:v>
      </x:c>
      <x:c r="I25" s="15" t="str">
        <x:f>IF('Master Schedule'!A23="","",'Master Schedule'!I23&amp;"")</x:f>
        <x:v>Glycolysis and Glycogen Synthesis</x:v>
      </x:c>
      <x:c r="J25" s="15" t="str">
        <x:f>IF('Master Schedule'!A23="","",'Master Schedule'!J23&amp;"")</x:f>
      </x:c>
      <x:c r="K25" s="15" t="str">
        <x:f>IF('Master Schedule'!A23="","",'Master Schedule'!K23&amp;"")</x:f>
      </x:c>
      <x:c r="L25" s="15" t="str">
        <x:f>IF('Master Schedule'!A23="","",'Master Schedule'!L23&amp;"")</x:f>
      </x:c>
      <x:c r="M25" s="15" t="str">
        <x:f>IF('Master Schedule'!A23="","",'Master Schedule'!M23&amp;"")</x:f>
        <x:v>Chapter 14: Carbohydrate metabolism Part I</x:v>
      </x:c>
    </x:row>
    <x:row r="26">
      <x:c r="A26" s="15" t="str">
        <x:f>IF('Master Schedule'!A24="","",'Master Schedule'!A24)</x:f>
        <x:v>2025-08-05</x:v>
      </x:c>
      <x:c r="B26" s="15" t="n">
        <x:f>IF('Master Schedule'!A24="","",'Master Schedule'!B24)</x:f>
        <x:v>4</x:v>
      </x:c>
      <x:c r="C26" s="15" t="str">
        <x:f>IF('Master Schedule'!A24="","",'Master Schedule'!C24&amp;"")</x:f>
        <x:v>Tuesday</x:v>
      </x:c>
      <x:c r="D26" s="15" t="str">
        <x:f>IF('Master Schedule'!A24="","",'Master Schedule'!D24&amp;"")</x:f>
        <x:v>Exam</x:v>
      </x:c>
      <x:c r="E26" s="15" t="str">
        <x:f>IF('Master Schedule'!A24="","",'Master Schedule'!E24&amp;"")</x:f>
        <x:v>5-8,13</x:v>
      </x:c>
      <x:c r="F26" s="15" t="str">
        <x:f>IF('Master Schedule'!A24="","",'Master Schedule'!F24&amp;"")</x:f>
        <x:v>How do these concepts connect across chapters 5-8,13?</x:v>
      </x:c>
      <x:c r="G26" s="15" t="str">
        <x:f>IF('Master Schedule'!A24="","",'Master Schedule'!G24&amp;"")</x:f>
      </x:c>
      <x:c r="H26" s="15" t="str">
        <x:f>IF('Master Schedule'!A24="","",'Master Schedule'!H24&amp;"")</x:f>
        <x:v>Exam 2</x:v>
      </x:c>
      <x:c r="I26" s="15" t="str">
        <x:f>IF('Master Schedule'!A24="","",'Master Schedule'!I24&amp;"")</x:f>
      </x:c>
      <x:c r="J26" s="15" t="str">
        <x:f>IF('Master Schedule'!A24="","",'Master Schedule'!J24&amp;"")</x:f>
      </x:c>
      <x:c r="K26" s="15" t="str">
        <x:f>IF('Master Schedule'!A24="","",'Master Schedule'!K24&amp;"")</x:f>
      </x:c>
      <x:c r="L26" s="15" t="str">
        <x:f>IF('Master Schedule'!A24="","",'Master Schedule'!L24&amp;"")</x:f>
        <x:v>Exam 2 Chapters 5-8, 13 due 11:59 PM</x:v>
      </x:c>
      <x:c r="M26" s="15" t="str">
        <x:f>IF('Master Schedule'!A24="","",'Master Schedule'!M24&amp;"")</x:f>
        <x:v>EXAM 2 | Exam 2 | Exam 2 Chapters 5-8, 13 due 11:59 PM</x:v>
      </x:c>
    </x:row>
    <x:row r="27">
      <x:c r="A27" s="15" t="str">
        <x:f>IF('Master Schedule'!A25="","",'Master Schedule'!A25)</x:f>
        <x:v>2025-08-06</x:v>
      </x:c>
      <x:c r="B27" s="15" t="n">
        <x:f>IF('Master Schedule'!A25="","",'Master Schedule'!B25)</x:f>
        <x:v>4</x:v>
      </x:c>
      <x:c r="C27" s="15" t="str">
        <x:f>IF('Master Schedule'!A25="","",'Master Schedule'!C25&amp;"")</x:f>
        <x:v>Wednesday</x:v>
      </x:c>
      <x:c r="D27" s="15" t="str">
        <x:f>IF('Master Schedule'!A25="","",'Master Schedule'!D25&amp;"")</x:f>
        <x:v>Lecture</x:v>
      </x:c>
      <x:c r="E27" s="15" t="str">
        <x:f>IF('Master Schedule'!A25="","",'Master Schedule'!E25&amp;"")</x:f>
        <x:v>14</x:v>
      </x:c>
      <x:c r="F27" s="15" t="str">
        <x:f>IF('Master Schedule'!A25="","",'Master Schedule'!F25&amp;"")</x:f>
        <x:v>How do cells extract energy from glucose?</x:v>
      </x:c>
      <x:c r="G27" s="15" t="str">
        <x:f>IF('Master Schedule'!A25="","",'Master Schedule'!G25&amp;"")</x:f>
        <x:v>14.3-14.5</x:v>
      </x:c>
      <x:c r="H27" s="15" t="str">
        <x:f>IF('Master Schedule'!A25="","",'Master Schedule'!H25&amp;"")</x:f>
        <x:v>Chapter 14: Carbohydrate metabolism Part I</x:v>
      </x:c>
      <x:c r="I27" s="15" t="str">
        <x:f>IF('Master Schedule'!A25="","",'Master Schedule'!I25&amp;"")</x:f>
        <x:v>Glycolysis and Glycogen Synthesis</x:v>
      </x:c>
      <x:c r="J27" s="15" t="str">
        <x:f>IF('Master Schedule'!A25="","",'Master Schedule'!J25&amp;"")</x:f>
      </x:c>
      <x:c r="K27" s="15" t="str">
        <x:f>IF('Master Schedule'!A25="","",'Master Schedule'!K25&amp;"")</x:f>
      </x:c>
      <x:c r="L27" s="15" t="str">
        <x:f>IF('Master Schedule'!A25="","",'Master Schedule'!L25&amp;"")</x:f>
      </x:c>
      <x:c r="M27" s="15" t="str">
        <x:f>IF('Master Schedule'!A25="","",'Master Schedule'!M25&amp;"")</x:f>
        <x:v>Chapter 14: Carbohydrate metabolism Part I</x:v>
      </x:c>
    </x:row>
    <x:row r="28">
      <x:c r="A28" s="15" t="str">
        <x:f>IF('Master Schedule'!A26="","",'Master Schedule'!A26)</x:f>
        <x:v>2025-08-07</x:v>
      </x:c>
      <x:c r="B28" s="15" t="n">
        <x:f>IF('Master Schedule'!A26="","",'Master Schedule'!B26)</x:f>
        <x:v>4</x:v>
      </x:c>
      <x:c r="C28" s="15" t="str">
        <x:f>IF('Master Schedule'!A26="","",'Master Schedule'!C26&amp;"")</x:f>
        <x:v>Thursday</x:v>
      </x:c>
      <x:c r="D28" s="15" t="str">
        <x:f>IF('Master Schedule'!A26="","",'Master Schedule'!D26&amp;"")</x:f>
        <x:v>Lecture</x:v>
      </x:c>
      <x:c r="E28" s="15" t="str">
        <x:f>IF('Master Schedule'!A26="","",'Master Schedule'!E26&amp;"")</x:f>
        <x:v>16</x:v>
      </x:c>
      <x:c r="F28" s="15" t="str">
        <x:f>IF('Master Schedule'!A26="","",'Master Schedule'!F26&amp;"")</x:f>
        <x:v>How does the citric acid cycle connect carbon flow to energy production?</x:v>
      </x:c>
      <x:c r="G28" s="15" t="str">
        <x:f>IF('Master Schedule'!A26="","",'Master Schedule'!G26&amp;"")</x:f>
        <x:v>16.1-16.4</x:v>
      </x:c>
      <x:c r="H28" s="15" t="str">
        <x:f>IF('Master Schedule'!A26="","",'Master Schedule'!H26&amp;"")</x:f>
        <x:v>Chapter 16: Pyruvate Oxidation and the Citric Acid Cycle</x:v>
      </x:c>
      <x:c r="I28" s="15" t="str">
        <x:f>IF('Master Schedule'!A26="","",'Master Schedule'!I26&amp;"")</x:f>
      </x:c>
      <x:c r="J28" s="15" t="str">
        <x:f>IF('Master Schedule'!A26="","",'Master Schedule'!J26&amp;"")</x:f>
        <x:v>Adaptive Quiz Ch 14 due 11:59 PM</x:v>
      </x:c>
      <x:c r="K28" s="15" t="str">
        <x:f>IF('Master Schedule'!A26="","",'Master Schedule'!K26&amp;"")</x:f>
      </x:c>
      <x:c r="L28" s="15" t="str">
        <x:f>IF('Master Schedule'!A26="","",'Master Schedule'!L26&amp;"")</x:f>
      </x:c>
      <x:c r="M28" s="15" t="str">
        <x:f>IF('Master Schedule'!A26="","",'Master Schedule'!M26&amp;"")</x:f>
        <x:v>Chapter 16: Pyruvate Oxidation and the Citric Acid Cycle | Adaptive Quiz Ch 14 due 11:59 PM</x:v>
      </x:c>
    </x:row>
    <x:row r="29">
      <x:c r="A29" s="15" t="str">
        <x:f>IF('Master Schedule'!A27="","",'Master Schedule'!A27)</x:f>
        <x:v>2025-08-08</x:v>
      </x:c>
      <x:c r="B29" s="15" t="n">
        <x:f>IF('Master Schedule'!A27="","",'Master Schedule'!B27)</x:f>
        <x:v>4</x:v>
      </x:c>
      <x:c r="C29" s="15" t="str">
        <x:f>IF('Master Schedule'!A27="","",'Master Schedule'!C27&amp;"")</x:f>
        <x:v>Friday</x:v>
      </x:c>
      <x:c r="D29" s="15" t="str">
        <x:f>IF('Master Schedule'!A27="","",'Master Schedule'!D27&amp;"")</x:f>
        <x:v>Lecture</x:v>
      </x:c>
      <x:c r="E29" s="15" t="str">
        <x:f>IF('Master Schedule'!A27="","",'Master Schedule'!E27&amp;"")</x:f>
        <x:v>19</x:v>
      </x:c>
      <x:c r="F29" s="15" t="str">
        <x:f>IF('Master Schedule'!A27="","",'Master Schedule'!F27&amp;"")</x:f>
        <x:v>How do cells convert electron flow into ATP?</x:v>
      </x:c>
      <x:c r="G29" s="15" t="str">
        <x:f>IF('Master Schedule'!A27="","",'Master Schedule'!G27&amp;"")</x:f>
        <x:v>19.1-19.3</x:v>
      </x:c>
      <x:c r="H29" s="15" t="str">
        <x:f>IF('Master Schedule'!A27="","",'Master Schedule'!H27&amp;"")</x:f>
        <x:v>Chapter 19: Electron Transfer and Oxidative Phosphorylation</x:v>
      </x:c>
      <x:c r="I29" s="15" t="str">
        <x:f>IF('Master Schedule'!A27="","",'Master Schedule'!I27&amp;"")</x:f>
      </x:c>
      <x:c r="J29" s="15" t="str">
        <x:f>IF('Master Schedule'!A27="","",'Master Schedule'!J27&amp;"")</x:f>
        <x:v>Adaptive Quiz Ch 16 due 11:59 PM</x:v>
      </x:c>
      <x:c r="K29" s="15" t="str">
        <x:f>IF('Master Schedule'!A27="","",'Master Schedule'!K27&amp;"")</x:f>
      </x:c>
      <x:c r="L29" s="15" t="str">
        <x:f>IF('Master Schedule'!A27="","",'Master Schedule'!L27&amp;"")</x:f>
      </x:c>
      <x:c r="M29" s="15" t="str">
        <x:f>IF('Master Schedule'!A27="","",'Master Schedule'!M27&amp;"")</x:f>
        <x:v>Chapter 19: Electron Transfer and Oxidative Phosphorylation | Adaptive Quiz Ch 16 due 11:59 PM</x:v>
      </x:c>
    </x:row>
    <x:row r="30">
      <x:c r="A30" s="15" t="str">
        <x:f>IF('Master Schedule'!A28="","",'Master Schedule'!A28)</x:f>
        <x:v>2025-08-09</x:v>
      </x:c>
      <x:c r="B30" s="15" t="n">
        <x:f>IF('Master Schedule'!A28="","",'Master Schedule'!B28)</x:f>
        <x:v>4</x:v>
      </x:c>
      <x:c r="C30" s="15" t="str">
        <x:f>IF('Master Schedule'!A28="","",'Master Schedule'!C28&amp;"")</x:f>
        <x:v>Saturday</x:v>
      </x:c>
      <x:c r="D30" s="15" t="str">
        <x:f>IF('Master Schedule'!A28="","",'Master Schedule'!D28&amp;"")</x:f>
        <x:v>Async/Quiz</x:v>
      </x:c>
      <x:c r="E30" s="15" t="str">
        <x:f>IF('Master Schedule'!A28="","",'Master Schedule'!E28&amp;"")</x:f>
        <x:v>19</x:v>
      </x:c>
      <x:c r="F30" s="15" t="str">
        <x:f>IF('Master Schedule'!A28="","",'Master Schedule'!F28&amp;"")</x:f>
        <x:v>How do cells convert electron flow into ATP?</x:v>
      </x:c>
      <x:c r="G30" s="15" t="str">
        <x:f>IF('Master Schedule'!A28="","",'Master Schedule'!G28&amp;"")</x:f>
      </x:c>
      <x:c r="H30" s="15" t="str">
        <x:f>IF('Master Schedule'!A28="","",'Master Schedule'!H28&amp;"")</x:f>
      </x:c>
      <x:c r="I30" s="15" t="str">
        <x:f>IF('Master Schedule'!A28="","",'Master Schedule'!I28&amp;"")</x:f>
      </x:c>
      <x:c r="J30" s="15" t="str">
        <x:f>IF('Master Schedule'!A28="","",'Master Schedule'!J28&amp;"")</x:f>
        <x:v>Adaptive Quiz Ch 19 due 11:59 PM</x:v>
      </x:c>
      <x:c r="K30" s="15" t="str">
        <x:f>IF('Master Schedule'!A28="","",'Master Schedule'!K28&amp;"")</x:f>
      </x:c>
      <x:c r="L30" s="15" t="str">
        <x:f>IF('Master Schedule'!A28="","",'Master Schedule'!L28&amp;"")</x:f>
      </x:c>
      <x:c r="M30" s="15" t="str">
        <x:f>IF('Master Schedule'!A28="","",'Master Schedule'!M28&amp;"")</x:f>
        <x:v>Adaptive Quiz Ch 19 due 11:59 PM</x:v>
      </x:c>
    </x:row>
    <x:row r="31">
      <x:c r="A31" s="15" t="str">
        <x:f>IF('Master Schedule'!A29="","",'Master Schedule'!A29)</x:f>
        <x:v>2025-08-10</x:v>
      </x:c>
      <x:c r="B31" s="15" t="n">
        <x:f>IF('Master Schedule'!A29="","",'Master Schedule'!B29)</x:f>
        <x:v>4</x:v>
      </x:c>
      <x:c r="C31" s="15" t="str">
        <x:f>IF('Master Schedule'!A29="","",'Master Schedule'!C29&amp;"")</x:f>
        <x:v>Sunday</x:v>
      </x:c>
      <x:c r="D31" s="15" t="str">
        <x:f>IF('Master Schedule'!A29="","",'Master Schedule'!D29&amp;"")</x:f>
        <x:v>Homework</x:v>
      </x:c>
      <x:c r="E31" s="15" t="str">
        <x:f>IF('Master Schedule'!A29="","",'Master Schedule'!E29&amp;"")</x:f>
        <x:v>14,16,19</x:v>
      </x:c>
      <x:c r="F31" s="15" t="str">
        <x:f>IF('Master Schedule'!A29="","",'Master Schedule'!F29&amp;"")</x:f>
        <x:v>How do these concepts connect across chapters 14,16,19?</x:v>
      </x:c>
      <x:c r="G31" s="15" t="str">
        <x:f>IF('Master Schedule'!A29="","",'Master Schedule'!G29&amp;"")</x:f>
      </x:c>
      <x:c r="H31" s="15" t="str">
        <x:f>IF('Master Schedule'!A29="","",'Master Schedule'!H29&amp;"")</x:f>
      </x:c>
      <x:c r="I31" s="15" t="str">
        <x:f>IF('Master Schedule'!A29="","",'Master Schedule'!I29&amp;"")</x:f>
      </x:c>
      <x:c r="J31" s="15" t="str">
        <x:f>IF('Master Schedule'!A29="","",'Master Schedule'!J29&amp;"")</x:f>
      </x:c>
      <x:c r="K31" s="15" t="str">
        <x:f>IF('Master Schedule'!A29="","",'Master Schedule'!K29&amp;"")</x:f>
        <x:v>Homework Chapters 14, 16, 19 due 11:59 PM</x:v>
      </x:c>
      <x:c r="L31" s="15" t="str">
        <x:f>IF('Master Schedule'!A29="","",'Master Schedule'!L29&amp;"")</x:f>
      </x:c>
      <x:c r="M31" s="15" t="str">
        <x:f>IF('Master Schedule'!A29="","",'Master Schedule'!M29&amp;"")</x:f>
        <x:v>Homework Chapters 14, 16, 19 due 11:59 PM</x:v>
      </x:c>
    </x:row>
    <x:row r="32">
      <x:c r="A32" s="15" t="str">
        <x:f>IF('Master Schedule'!A30="","",'Master Schedule'!A30)</x:f>
        <x:v>2025-08-11</x:v>
      </x:c>
      <x:c r="B32" s="15" t="n">
        <x:f>IF('Master Schedule'!A30="","",'Master Schedule'!B30)</x:f>
        <x:v>5</x:v>
      </x:c>
      <x:c r="C32" s="15" t="str">
        <x:f>IF('Master Schedule'!A30="","",'Master Schedule'!C30&amp;"")</x:f>
        <x:v>Monday</x:v>
      </x:c>
      <x:c r="D32" s="15" t="str">
        <x:f>IF('Master Schedule'!A30="","",'Master Schedule'!D30&amp;"")</x:f>
        <x:v>Lecture</x:v>
      </x:c>
      <x:c r="E32" s="15" t="str">
        <x:f>IF('Master Schedule'!A30="","",'Master Schedule'!E30&amp;"")</x:f>
        <x:v>9</x:v>
      </x:c>
      <x:c r="F32" s="15" t="str">
        <x:f>IF('Master Schedule'!A30="","",'Master Schedule'!F30&amp;"")</x:f>
        <x:v>How is genetic information encoded in nucleic acid structure?</x:v>
      </x:c>
      <x:c r="G32" s="15" t="str">
        <x:f>IF('Master Schedule'!A30="","",'Master Schedule'!G30&amp;"")</x:f>
        <x:v>9.1-9.4</x:v>
      </x:c>
      <x:c r="H32" s="15" t="str">
        <x:f>IF('Master Schedule'!A30="","",'Master Schedule'!H30&amp;"")</x:f>
        <x:v>Chapter 9: Nucleotides</x:v>
      </x:c>
      <x:c r="I32" s="15" t="str">
        <x:f>IF('Master Schedule'!A30="","",'Master Schedule'!I30&amp;"")</x:f>
        <x:v>Nucleic acids and DNA structure</x:v>
      </x:c>
      <x:c r="J32" s="15" t="str">
        <x:f>IF('Master Schedule'!A30="","",'Master Schedule'!J30&amp;"")</x:f>
      </x:c>
      <x:c r="K32" s="15" t="str">
        <x:f>IF('Master Schedule'!A30="","",'Master Schedule'!K30&amp;"")</x:f>
      </x:c>
      <x:c r="L32" s="15" t="str">
        <x:f>IF('Master Schedule'!A30="","",'Master Schedule'!L30&amp;"")</x:f>
      </x:c>
      <x:c r="M32" s="15" t="str">
        <x:f>IF('Master Schedule'!A30="","",'Master Schedule'!M30&amp;"")</x:f>
        <x:v>Chapter 9: Nucleotides</x:v>
      </x:c>
    </x:row>
    <x:row r="33">
      <x:c r="A33" s="15" t="str">
        <x:f>IF('Master Schedule'!A31="","",'Master Schedule'!A31)</x:f>
        <x:v>2025-08-12</x:v>
      </x:c>
      <x:c r="B33" s="15" t="n">
        <x:f>IF('Master Schedule'!A31="","",'Master Schedule'!B31)</x:f>
        <x:v>5</x:v>
      </x:c>
      <x:c r="C33" s="15" t="str">
        <x:f>IF('Master Schedule'!A31="","",'Master Schedule'!C31&amp;"")</x:f>
        <x:v>Tuesday</x:v>
      </x:c>
      <x:c r="D33" s="15" t="str">
        <x:f>IF('Master Schedule'!A31="","",'Master Schedule'!D31&amp;"")</x:f>
        <x:v>Lecture</x:v>
      </x:c>
      <x:c r="E33" s="15" t="str">
        <x:f>IF('Master Schedule'!A31="","",'Master Schedule'!E31&amp;"")</x:f>
        <x:v>10</x:v>
      </x:c>
      <x:c r="F33" s="15" t="str">
        <x:f>IF('Master Schedule'!A31="","",'Master Schedule'!F31&amp;"")</x:f>
        <x:v>How is genetic information copied and transcribed?</x:v>
      </x:c>
      <x:c r="G33" s="15" t="str">
        <x:f>IF('Master Schedule'!A31="","",'Master Schedule'!G31&amp;"")</x:f>
        <x:v>10.1-10.2</x:v>
      </x:c>
      <x:c r="H33" s="15" t="str">
        <x:f>IF('Master Schedule'!A31="","",'Master Schedule'!H31&amp;"")</x:f>
        <x:v>Chapter 10: Biological Information Part I</x:v>
      </x:c>
      <x:c r="I33" s="15" t="str">
        <x:f>IF('Master Schedule'!A31="","",'Master Schedule'!I31&amp;"")</x:f>
        <x:v>DNA and RNA Metabolism; DNA replication and regulation; RNA Transcription</x:v>
      </x:c>
      <x:c r="J33" s="15" t="str">
        <x:f>IF('Master Schedule'!A31="","",'Master Schedule'!J31&amp;"")</x:f>
        <x:v>Adaptive Quiz Ch 9 due 11:59 PM</x:v>
      </x:c>
      <x:c r="K33" s="15" t="str">
        <x:f>IF('Master Schedule'!A31="","",'Master Schedule'!K31&amp;"")</x:f>
      </x:c>
      <x:c r="L33" s="15" t="str">
        <x:f>IF('Master Schedule'!A31="","",'Master Schedule'!L31&amp;"")</x:f>
      </x:c>
      <x:c r="M33" s="15" t="str">
        <x:f>IF('Master Schedule'!A31="","",'Master Schedule'!M31&amp;"")</x:f>
        <x:v>Chapter 10: Biological Information Part I | Adaptive Quiz Ch 9 due 11:59 PM</x:v>
      </x:c>
    </x:row>
    <x:row r="34">
      <x:c r="A34" s="15" t="str">
        <x:f>IF('Master Schedule'!A32="","",'Master Schedule'!A32)</x:f>
        <x:v>2025-08-13</x:v>
      </x:c>
      <x:c r="B34" s="15" t="n">
        <x:f>IF('Master Schedule'!A32="","",'Master Schedule'!B32)</x:f>
        <x:v>5</x:v>
      </x:c>
      <x:c r="C34" s="15" t="str">
        <x:f>IF('Master Schedule'!A32="","",'Master Schedule'!C32&amp;"")</x:f>
        <x:v>Wednesday</x:v>
      </x:c>
      <x:c r="D34" s="15" t="str">
        <x:f>IF('Master Schedule'!A32="","",'Master Schedule'!D32&amp;"")</x:f>
        <x:v>Lecture</x:v>
      </x:c>
      <x:c r="E34" s="15" t="str">
        <x:f>IF('Master Schedule'!A32="","",'Master Schedule'!E32&amp;"")</x:f>
        <x:v>10</x:v>
      </x:c>
      <x:c r="F34" s="15" t="str">
        <x:f>IF('Master Schedule'!A32="","",'Master Schedule'!F32&amp;"")</x:f>
        <x:v>How is genetic information copied and transcribed?</x:v>
      </x:c>
      <x:c r="G34" s="15" t="str">
        <x:f>IF('Master Schedule'!A32="","",'Master Schedule'!G32&amp;"")</x:f>
        <x:v>10.3-10.4</x:v>
      </x:c>
      <x:c r="H34" s="15" t="str">
        <x:f>IF('Master Schedule'!A32="","",'Master Schedule'!H32&amp;"")</x:f>
        <x:v>Chapter 10: Biological Information Part I</x:v>
      </x:c>
      <x:c r="I34" s="15" t="str">
        <x:f>IF('Master Schedule'!A32="","",'Master Schedule'!I32&amp;"")</x:f>
        <x:v>DNA and RNA Metabolism; DNA replication and regulation; RNA Transcription</x:v>
      </x:c>
      <x:c r="J34" s="15" t="str">
        <x:f>IF('Master Schedule'!A32="","",'Master Schedule'!J32&amp;"")</x:f>
      </x:c>
      <x:c r="K34" s="15" t="str">
        <x:f>IF('Master Schedule'!A32="","",'Master Schedule'!K32&amp;"")</x:f>
      </x:c>
      <x:c r="L34" s="15" t="str">
        <x:f>IF('Master Schedule'!A32="","",'Master Schedule'!L32&amp;"")</x:f>
      </x:c>
      <x:c r="M34" s="15" t="str">
        <x:f>IF('Master Schedule'!A32="","",'Master Schedule'!M32&amp;"")</x:f>
        <x:v>Chapter 10: Biological Information Part I</x:v>
      </x:c>
    </x:row>
    <x:row r="35">
      <x:c r="A35" s="15" t="str">
        <x:f>IF('Master Schedule'!A33="","",'Master Schedule'!A33)</x:f>
        <x:v>2025-08-14</x:v>
      </x:c>
      <x:c r="B35" s="15" t="n">
        <x:f>IF('Master Schedule'!A33="","",'Master Schedule'!B33)</x:f>
        <x:v>5</x:v>
      </x:c>
      <x:c r="C35" s="15" t="str">
        <x:f>IF('Master Schedule'!A33="","",'Master Schedule'!C33&amp;"")</x:f>
        <x:v>Thursday</x:v>
      </x:c>
      <x:c r="D35" s="15" t="str">
        <x:f>IF('Master Schedule'!A33="","",'Master Schedule'!D33&amp;"")</x:f>
        <x:v>Lecture</x:v>
      </x:c>
      <x:c r="E35" s="15" t="str">
        <x:f>IF('Master Schedule'!A33="","",'Master Schedule'!E33&amp;"")</x:f>
        <x:v>11</x:v>
      </x:c>
      <x:c r="F35" s="15" t="str">
        <x:f>IF('Master Schedule'!A33="","",'Master Schedule'!F33&amp;"")</x:f>
        <x:v>How is genetic information translated into protein?</x:v>
      </x:c>
      <x:c r="G35" s="15" t="str">
        <x:f>IF('Master Schedule'!A33="","",'Master Schedule'!G33&amp;"")</x:f>
        <x:v>11.1-11.4</x:v>
      </x:c>
      <x:c r="H35" s="15" t="str">
        <x:f>IF('Master Schedule'!A33="","",'Master Schedule'!H33&amp;"")</x:f>
        <x:v>Chapter 11: Biological Information Part II</x:v>
      </x:c>
      <x:c r="I35" s="15" t="str">
        <x:f>IF('Master Schedule'!A33="","",'Master Schedule'!I33&amp;"")</x:f>
        <x:v>Protein Metabolism; genetic code and protein metabolism</x:v>
      </x:c>
      <x:c r="J35" s="15" t="str">
        <x:f>IF('Master Schedule'!A33="","",'Master Schedule'!J33&amp;"")</x:f>
        <x:v>Adaptive Quiz Ch 10 due 11:59 PM</x:v>
      </x:c>
      <x:c r="K35" s="15" t="str">
        <x:f>IF('Master Schedule'!A33="","",'Master Schedule'!K33&amp;"")</x:f>
      </x:c>
      <x:c r="L35" s="15" t="str">
        <x:f>IF('Master Schedule'!A33="","",'Master Schedule'!L33&amp;"")</x:f>
      </x:c>
      <x:c r="M35" s="15" t="str">
        <x:f>IF('Master Schedule'!A33="","",'Master Schedule'!M33&amp;"")</x:f>
        <x:v>Chapter 11: Biological Information Part II | Adaptive Quiz Ch 10 due 11:59 PM</x:v>
      </x:c>
    </x:row>
    <x:row r="36">
      <x:c r="A36" s="15" t="str">
        <x:f>IF('Master Schedule'!A34="","",'Master Schedule'!A34)</x:f>
        <x:v>2025-08-15</x:v>
      </x:c>
      <x:c r="B36" s="15" t="n">
        <x:f>IF('Master Schedule'!A34="","",'Master Schedule'!B34)</x:f>
        <x:v>5</x:v>
      </x:c>
      <x:c r="C36" s="15" t="str">
        <x:f>IF('Master Schedule'!A34="","",'Master Schedule'!C34&amp;"")</x:f>
        <x:v>Friday</x:v>
      </x:c>
      <x:c r="D36" s="15" t="str">
        <x:f>IF('Master Schedule'!A34="","",'Master Schedule'!D34&amp;"")</x:f>
        <x:v>Final Exam</x:v>
      </x:c>
      <x:c r="E36" s="15" t="str">
        <x:f>IF('Master Schedule'!A34="","",'Master Schedule'!E34&amp;"")</x:f>
        <x:v>Cumulative</x:v>
      </x:c>
      <x:c r="F36" s="15" t="str">
        <x:f>IF('Master Schedule'!A34="","",'Master Schedule'!F34&amp;"")</x:f>
        <x:v>How do these concepts connect across chapters Cumulative?</x:v>
      </x:c>
      <x:c r="G36" s="15" t="str">
        <x:f>IF('Master Schedule'!A34="","",'Master Schedule'!G34&amp;"")</x:f>
      </x:c>
      <x:c r="H36" s="15" t="str">
        <x:f>IF('Master Schedule'!A34="","",'Master Schedule'!H34&amp;"")</x:f>
        <x:v>Final Exam</x:v>
      </x:c>
      <x:c r="I36" s="15" t="str">
        <x:f>IF('Master Schedule'!A34="","",'Master Schedule'!I34&amp;"")</x:f>
        <x:v>Cumulative</x:v>
      </x:c>
      <x:c r="J36" s="15" t="str">
        <x:f>IF('Master Schedule'!A34="","",'Master Schedule'!J34&amp;"")</x:f>
      </x:c>
      <x:c r="K36" s="15" t="str">
        <x:f>IF('Master Schedule'!A34="","",'Master Schedule'!K34&amp;"")</x:f>
        <x:v>Homework Chapters 9-11 due 11:59 PM</x:v>
      </x:c>
      <x:c r="L36" s="15" t="str">
        <x:f>IF('Master Schedule'!A34="","",'Master Schedule'!L34&amp;"")</x:f>
        <x:v>Final Exam cumulative</x:v>
      </x:c>
      <x:c r="M36" s="15" t="str">
        <x:f>IF('Master Schedule'!A34="","",'Master Schedule'!M34&amp;"")</x:f>
        <x:v>FINAL EXAM | Final Exam | Homework Chapters 9-11 due 11:59 PM | Final Exam cumulative</x:v>
      </x:c>
    </x:row>
    <x:row r="37">
      <x:c r="A37" s="15" t="n"/>
      <x:c r="B37" s="15" t="n"/>
      <x:c r="C37" s="15" t="n"/>
      <x:c r="D37" s="15" t="n"/>
      <x:c r="E37" s="15" t="n"/>
      <x:c r="F37" s="15" t="n"/>
      <x:c r="G37" s="15" t="n"/>
      <x:c r="H37" s="15" t="n"/>
      <x:c r="I37" s="15" t="n"/>
      <x:c r="J37" s="15" t="n"/>
      <x:c r="K37" s="15" t="n"/>
      <x:c r="L37" s="15" t="n"/>
      <x:c r="M37" s="15" t="n"/>
    </x:row>
    <x:row r="38">
      <x:c r="A38" s="15" t="n"/>
      <x:c r="B38" s="15" t="n"/>
      <x:c r="C38" s="15" t="n"/>
      <x:c r="D38" s="15" t="n"/>
      <x:c r="E38" s="15" t="n"/>
      <x:c r="F38" s="15" t="n"/>
      <x:c r="G38" s="15" t="n"/>
      <x:c r="H38" s="15" t="n"/>
      <x:c r="I38" s="15" t="n"/>
      <x:c r="J38" s="15" t="n"/>
      <x:c r="K38" s="15" t="n"/>
      <x:c r="L38" s="15" t="n"/>
      <x:c r="M38" s="15" t="n"/>
    </x:row>
    <x:row r="39">
      <x:c r="A39" s="15" t="n"/>
      <x:c r="B39" s="15" t="n"/>
      <x:c r="C39" s="15" t="n"/>
      <x:c r="D39" s="15" t="n"/>
      <x:c r="E39" s="15" t="n"/>
      <x:c r="F39" s="15" t="n"/>
      <x:c r="G39" s="15" t="n"/>
      <x:c r="H39" s="15" t="n"/>
      <x:c r="I39" s="15" t="n"/>
      <x:c r="J39" s="15" t="n"/>
      <x:c r="K39" s="15" t="n"/>
      <x:c r="L39" s="15" t="n"/>
      <x:c r="M39" s="15" t="n"/>
    </x:row>
    <x:row r="40">
      <x:c r="A40" s="15" t="n"/>
      <x:c r="B40" s="15" t="n"/>
      <x:c r="C40" s="15" t="n"/>
      <x:c r="D40" s="15" t="n"/>
      <x:c r="E40" s="15" t="n"/>
      <x:c r="F40" s="15" t="n"/>
      <x:c r="G40" s="15" t="n"/>
      <x:c r="H40" s="15" t="n"/>
      <x:c r="I40" s="15" t="n"/>
      <x:c r="J40" s="15" t="n"/>
      <x:c r="K40" s="15" t="n"/>
      <x:c r="L40" s="15" t="n"/>
      <x:c r="M40" s="15" t="n"/>
    </x:row>
    <x:row r="41">
      <x:c r="A41" s="15" t="n"/>
      <x:c r="B41" s="15" t="n"/>
      <x:c r="C41" s="15" t="n"/>
      <x:c r="D41" s="15" t="n"/>
      <x:c r="E41" s="15" t="n"/>
      <x:c r="F41" s="15" t="n"/>
      <x:c r="G41" s="15" t="n"/>
      <x:c r="H41" s="15" t="n"/>
      <x:c r="I41" s="15" t="n"/>
      <x:c r="J41" s="15" t="n"/>
      <x:c r="K41" s="15" t="n"/>
      <x:c r="L41" s="15" t="n"/>
      <x:c r="M41" s="15" t="n"/>
    </x:row>
    <x:row r="42">
      <x:c r="A42" s="15" t="n"/>
      <x:c r="B42" s="15" t="n"/>
      <x:c r="C42" s="15" t="n"/>
      <x:c r="D42" s="15" t="n"/>
      <x:c r="E42" s="15" t="n"/>
      <x:c r="F42" s="15" t="n"/>
      <x:c r="G42" s="15" t="n"/>
      <x:c r="H42" s="15" t="n"/>
      <x:c r="I42" s="15" t="n"/>
      <x:c r="J42" s="15" t="n"/>
      <x:c r="K42" s="15" t="n"/>
      <x:c r="L42" s="15" t="n"/>
      <x:c r="M42" s="15" t="n"/>
    </x:row>
    <x:row r="43">
      <x:c r="A43" s="15" t="n"/>
      <x:c r="B43" s="15" t="n"/>
      <x:c r="C43" s="15" t="n"/>
      <x:c r="D43" s="15" t="n"/>
      <x:c r="E43" s="15" t="n"/>
      <x:c r="F43" s="15" t="n"/>
      <x:c r="G43" s="15" t="n"/>
      <x:c r="H43" s="15" t="n"/>
      <x:c r="I43" s="15" t="n"/>
      <x:c r="J43" s="15" t="n"/>
      <x:c r="K43" s="15" t="n"/>
      <x:c r="L43" s="15" t="n"/>
      <x:c r="M43" s="15" t="n"/>
    </x:row>
    <x:row r="44">
      <x:c r="A44" s="15" t="n"/>
      <x:c r="B44" s="15" t="n"/>
      <x:c r="C44" s="15" t="n"/>
      <x:c r="D44" s="15" t="n"/>
      <x:c r="E44" s="15" t="n"/>
      <x:c r="F44" s="15" t="n"/>
      <x:c r="G44" s="15" t="n"/>
      <x:c r="H44" s="15" t="n"/>
      <x:c r="I44" s="15" t="n"/>
      <x:c r="J44" s="15" t="n"/>
      <x:c r="K44" s="15" t="n"/>
      <x:c r="L44" s="15" t="n"/>
      <x:c r="M44" s="15" t="n"/>
    </x:row>
    <x:row r="45">
      <x:c r="A45" s="15" t="n"/>
      <x:c r="B45" s="15" t="n"/>
      <x:c r="C45" s="15" t="n"/>
      <x:c r="D45" s="15" t="n"/>
      <x:c r="E45" s="15" t="n"/>
      <x:c r="F45" s="15" t="n"/>
      <x:c r="G45" s="15" t="n"/>
      <x:c r="H45" s="15" t="n"/>
      <x:c r="I45" s="15" t="n"/>
      <x:c r="J45" s="15" t="n"/>
      <x:c r="K45" s="15" t="n"/>
      <x:c r="L45" s="15" t="n"/>
      <x:c r="M45" s="15" t="n"/>
    </x:row>
    <x:row r="46">
      <x:c r="A46" s="15" t="n"/>
      <x:c r="B46" s="15" t="n"/>
      <x:c r="C46" s="15" t="n"/>
      <x:c r="D46" s="15" t="n"/>
      <x:c r="E46" s="15" t="n"/>
      <x:c r="F46" s="15" t="n"/>
      <x:c r="G46" s="15" t="n"/>
      <x:c r="H46" s="15" t="n"/>
      <x:c r="I46" s="15" t="n"/>
      <x:c r="J46" s="15" t="n"/>
      <x:c r="K46" s="15" t="n"/>
      <x:c r="L46" s="15" t="n"/>
      <x:c r="M46" s="15" t="n"/>
    </x:row>
    <x:row r="47">
      <x:c r="A47" s="15" t="n"/>
      <x:c r="B47" s="15" t="n"/>
      <x:c r="C47" s="15" t="n"/>
      <x:c r="D47" s="15" t="n"/>
      <x:c r="E47" s="15" t="n"/>
      <x:c r="F47" s="15" t="n"/>
      <x:c r="G47" s="15" t="n"/>
      <x:c r="H47" s="15" t="n"/>
      <x:c r="I47" s="15" t="n"/>
      <x:c r="J47" s="15" t="n"/>
      <x:c r="K47" s="15" t="n"/>
      <x:c r="L47" s="15" t="n"/>
      <x:c r="M47" s="15" t="n"/>
    </x:row>
    <x:row r="48">
      <x:c r="A48" s="15" t="n"/>
      <x:c r="B48" s="15" t="n"/>
      <x:c r="C48" s="15" t="n"/>
      <x:c r="D48" s="15" t="n"/>
      <x:c r="E48" s="15" t="n"/>
      <x:c r="F48" s="15" t="n"/>
      <x:c r="G48" s="15" t="n"/>
      <x:c r="H48" s="15" t="n"/>
      <x:c r="I48" s="15" t="n"/>
      <x:c r="J48" s="15" t="n"/>
      <x:c r="K48" s="15" t="n"/>
      <x:c r="L48" s="15" t="n"/>
      <x:c r="M48" s="15" t="n"/>
    </x:row>
    <x:row r="49">
      <x:c r="A49" s="15" t="n"/>
      <x:c r="B49" s="15" t="n"/>
      <x:c r="C49" s="15" t="n"/>
      <x:c r="D49" s="15" t="n"/>
      <x:c r="E49" s="15" t="n"/>
      <x:c r="F49" s="15" t="n"/>
      <x:c r="G49" s="15" t="n"/>
      <x:c r="H49" s="15" t="n"/>
      <x:c r="I49" s="15" t="n"/>
      <x:c r="J49" s="15" t="n"/>
      <x:c r="K49" s="15" t="n"/>
      <x:c r="L49" s="15" t="n"/>
      <x:c r="M49" s="15" t="n"/>
    </x:row>
    <x:row r="50">
      <x:c r="A50" s="15" t="n"/>
      <x:c r="B50" s="15" t="n"/>
      <x:c r="C50" s="15" t="n"/>
      <x:c r="D50" s="15" t="n"/>
      <x:c r="E50" s="15" t="n"/>
      <x:c r="F50" s="15" t="n"/>
      <x:c r="G50" s="15" t="n"/>
      <x:c r="H50" s="15" t="n"/>
      <x:c r="I50" s="15" t="n"/>
      <x:c r="J50" s="15" t="n"/>
      <x:c r="K50" s="15" t="n"/>
      <x:c r="L50" s="15" t="n"/>
      <x:c r="M50" s="15" t="n"/>
    </x:row>
    <x:row r="51">
      <x:c r="A51" s="15" t="n"/>
      <x:c r="B51" s="15" t="n"/>
      <x:c r="C51" s="15" t="n"/>
      <x:c r="D51" s="15" t="n"/>
      <x:c r="E51" s="15" t="n"/>
      <x:c r="F51" s="15" t="n"/>
      <x:c r="G51" s="15" t="n"/>
      <x:c r="H51" s="15" t="n"/>
      <x:c r="I51" s="15" t="n"/>
      <x:c r="J51" s="15" t="n"/>
      <x:c r="K51" s="15" t="n"/>
      <x:c r="L51" s="15" t="n"/>
      <x:c r="M51" s="15" t="n"/>
    </x:row>
    <x:row r="52">
      <x:c r="A52" s="15" t="n"/>
      <x:c r="B52" s="15" t="n"/>
      <x:c r="C52" s="15" t="n"/>
      <x:c r="D52" s="15" t="n"/>
      <x:c r="E52" s="15" t="n"/>
      <x:c r="F52" s="15" t="n"/>
      <x:c r="G52" s="15" t="n"/>
      <x:c r="H52" s="15" t="n"/>
      <x:c r="I52" s="15" t="n"/>
      <x:c r="J52" s="15" t="n"/>
      <x:c r="K52" s="15" t="n"/>
      <x:c r="L52" s="15" t="n"/>
      <x:c r="M52" s="15" t="n"/>
    </x:row>
    <x:row r="53">
      <x:c r="A53" s="15" t="n"/>
      <x:c r="B53" s="15" t="n"/>
      <x:c r="C53" s="15" t="n"/>
      <x:c r="D53" s="15" t="n"/>
      <x:c r="E53" s="15" t="n"/>
      <x:c r="F53" s="15" t="n"/>
      <x:c r="G53" s="15" t="n"/>
      <x:c r="H53" s="15" t="n"/>
      <x:c r="I53" s="15" t="n"/>
      <x:c r="J53" s="15" t="n"/>
      <x:c r="K53" s="15" t="n"/>
      <x:c r="L53" s="15" t="n"/>
      <x:c r="M53" s="15" t="n"/>
    </x:row>
    <x:row r="54">
      <x:c r="A54" s="15" t="n"/>
      <x:c r="B54" s="15" t="n"/>
      <x:c r="C54" s="15" t="n"/>
      <x:c r="D54" s="15" t="n"/>
      <x:c r="E54" s="15" t="n"/>
      <x:c r="F54" s="15" t="n"/>
      <x:c r="G54" s="15" t="n"/>
      <x:c r="H54" s="15" t="n"/>
      <x:c r="I54" s="15" t="n"/>
      <x:c r="J54" s="15" t="n"/>
      <x:c r="K54" s="15" t="n"/>
      <x:c r="L54" s="15" t="n"/>
      <x:c r="M54" s="15" t="n"/>
    </x:row>
    <x:row r="55">
      <x:c r="A55" s="15" t="n"/>
      <x:c r="B55" s="15" t="n"/>
      <x:c r="C55" s="15" t="n"/>
      <x:c r="D55" s="15" t="n"/>
      <x:c r="E55" s="15" t="n"/>
      <x:c r="F55" s="15" t="n"/>
      <x:c r="G55" s="15" t="n"/>
      <x:c r="H55" s="15" t="n"/>
      <x:c r="I55" s="15" t="n"/>
      <x:c r="J55" s="15" t="n"/>
      <x:c r="K55" s="15" t="n"/>
      <x:c r="L55" s="15" t="n"/>
      <x:c r="M55" s="15" t="n"/>
    </x:row>
    <x:row r="56">
      <x:c r="A56" s="15" t="n"/>
      <x:c r="B56" s="15" t="n"/>
      <x:c r="C56" s="15" t="n"/>
      <x:c r="D56" s="15" t="n"/>
      <x:c r="E56" s="15" t="n"/>
      <x:c r="F56" s="15" t="n"/>
      <x:c r="G56" s="15" t="n"/>
      <x:c r="H56" s="15" t="n"/>
      <x:c r="I56" s="15" t="n"/>
      <x:c r="J56" s="15" t="n"/>
      <x:c r="K56" s="15" t="n"/>
      <x:c r="L56" s="15" t="n"/>
      <x:c r="M56" s="15" t="n"/>
    </x:row>
    <x:row r="57">
      <x:c r="A57" s="15" t="n"/>
      <x:c r="B57" s="15" t="n"/>
      <x:c r="C57" s="15" t="n"/>
      <x:c r="D57" s="15" t="n"/>
      <x:c r="E57" s="15" t="n"/>
      <x:c r="F57" s="15" t="n"/>
      <x:c r="G57" s="15" t="n"/>
      <x:c r="H57" s="15" t="n"/>
      <x:c r="I57" s="15" t="n"/>
      <x:c r="J57" s="15" t="n"/>
      <x:c r="K57" s="15" t="n"/>
      <x:c r="L57" s="15" t="n"/>
      <x:c r="M57" s="15" t="n"/>
    </x:row>
    <x:row r="58">
      <x:c r="A58" s="15" t="n"/>
      <x:c r="B58" s="15" t="n"/>
      <x:c r="C58" s="15" t="n"/>
      <x:c r="D58" s="15" t="n"/>
      <x:c r="E58" s="15" t="n"/>
      <x:c r="F58" s="15" t="n"/>
      <x:c r="G58" s="15" t="n"/>
      <x:c r="H58" s="15" t="n"/>
      <x:c r="I58" s="15" t="n"/>
      <x:c r="J58" s="15" t="n"/>
      <x:c r="K58" s="15" t="n"/>
      <x:c r="L58" s="15" t="n"/>
      <x:c r="M58" s="15" t="n"/>
    </x:row>
    <x:row r="59">
      <x:c r="A59" s="15" t="n"/>
      <x:c r="B59" s="15" t="n"/>
      <x:c r="C59" s="15" t="n"/>
      <x:c r="D59" s="15" t="n"/>
      <x:c r="E59" s="15" t="n"/>
      <x:c r="F59" s="15" t="n"/>
      <x:c r="G59" s="15" t="n"/>
      <x:c r="H59" s="15" t="n"/>
      <x:c r="I59" s="15" t="n"/>
      <x:c r="J59" s="15" t="n"/>
      <x:c r="K59" s="15" t="n"/>
      <x:c r="L59" s="15" t="n"/>
      <x:c r="M59" s="15" t="n"/>
    </x:row>
    <x:row r="60">
      <x:c r="A60" s="15" t="n"/>
      <x:c r="B60" s="15" t="n"/>
      <x:c r="C60" s="15" t="n"/>
      <x:c r="D60" s="15" t="n"/>
      <x:c r="E60" s="15" t="n"/>
      <x:c r="F60" s="15" t="n"/>
      <x:c r="G60" s="15" t="n"/>
      <x:c r="H60" s="15" t="n"/>
      <x:c r="I60" s="15" t="n"/>
      <x:c r="J60" s="15" t="n"/>
      <x:c r="K60" s="15" t="n"/>
      <x:c r="L60" s="15" t="n"/>
      <x:c r="M60" s="15" t="n"/>
    </x:row>
    <x:row r="61">
      <x:c r="A61" s="15" t="n"/>
      <x:c r="B61" s="15" t="n"/>
      <x:c r="C61" s="15" t="n"/>
      <x:c r="D61" s="15" t="n"/>
      <x:c r="E61" s="15" t="n"/>
      <x:c r="F61" s="15" t="n"/>
      <x:c r="G61" s="15" t="n"/>
      <x:c r="H61" s="15" t="n"/>
      <x:c r="I61" s="15" t="n"/>
      <x:c r="J61" s="15" t="n"/>
      <x:c r="K61" s="15" t="n"/>
      <x:c r="L61" s="15" t="n"/>
      <x:c r="M61" s="15" t="n"/>
    </x:row>
    <x:row r="62">
      <x:c r="A62" s="15" t="n"/>
      <x:c r="B62" s="15" t="n"/>
      <x:c r="C62" s="15" t="n"/>
      <x:c r="D62" s="15" t="n"/>
      <x:c r="E62" s="15" t="n"/>
      <x:c r="F62" s="15" t="n"/>
      <x:c r="G62" s="15" t="n"/>
      <x:c r="H62" s="15" t="n"/>
      <x:c r="I62" s="15" t="n"/>
      <x:c r="J62" s="15" t="n"/>
      <x:c r="K62" s="15" t="n"/>
      <x:c r="L62" s="15" t="n"/>
      <x:c r="M62" s="15" t="n"/>
    </x:row>
    <x:row r="63">
      <x:c r="A63" s="15" t="n"/>
      <x:c r="B63" s="15" t="n"/>
      <x:c r="C63" s="15" t="n"/>
      <x:c r="D63" s="15" t="n"/>
      <x:c r="E63" s="15" t="n"/>
      <x:c r="F63" s="15" t="n"/>
      <x:c r="G63" s="15" t="n"/>
      <x:c r="H63" s="15" t="n"/>
      <x:c r="I63" s="15" t="n"/>
      <x:c r="J63" s="15" t="n"/>
      <x:c r="K63" s="15" t="n"/>
      <x:c r="L63" s="15" t="n"/>
      <x:c r="M63" s="15" t="n"/>
    </x:row>
    <x:row r="64">
      <x:c r="A64" s="15" t="n"/>
      <x:c r="B64" s="15" t="n"/>
      <x:c r="C64" s="15" t="n"/>
      <x:c r="D64" s="15" t="n"/>
      <x:c r="E64" s="15" t="n"/>
      <x:c r="F64" s="15" t="n"/>
      <x:c r="G64" s="15" t="n"/>
      <x:c r="H64" s="15" t="n"/>
      <x:c r="I64" s="15" t="n"/>
      <x:c r="J64" s="15" t="n"/>
      <x:c r="K64" s="15" t="n"/>
      <x:c r="L64" s="15" t="n"/>
      <x:c r="M64" s="15" t="n"/>
    </x:row>
    <x:row r="65">
      <x:c r="A65" s="15" t="n"/>
      <x:c r="B65" s="15" t="n"/>
      <x:c r="C65" s="15" t="n"/>
      <x:c r="D65" s="15" t="n"/>
      <x:c r="E65" s="15" t="n"/>
      <x:c r="F65" s="15" t="n"/>
      <x:c r="G65" s="15" t="n"/>
      <x:c r="H65" s="15" t="n"/>
      <x:c r="I65" s="15" t="n"/>
      <x:c r="J65" s="15" t="n"/>
      <x:c r="K65" s="15" t="n"/>
      <x:c r="L65" s="15" t="n"/>
      <x:c r="M65" s="15" t="n"/>
    </x:row>
    <x:row r="66">
      <x:c r="A66" s="15" t="n"/>
      <x:c r="B66" s="15" t="n"/>
      <x:c r="C66" s="15" t="n"/>
      <x:c r="D66" s="15" t="n"/>
      <x:c r="E66" s="15" t="n"/>
      <x:c r="F66" s="15" t="n"/>
      <x:c r="G66" s="15" t="n"/>
      <x:c r="H66" s="15" t="n"/>
      <x:c r="I66" s="15" t="n"/>
      <x:c r="J66" s="15" t="n"/>
      <x:c r="K66" s="15" t="n"/>
      <x:c r="L66" s="15" t="n"/>
      <x:c r="M66" s="15" t="n"/>
    </x:row>
    <x:row r="67">
      <x:c r="A67" s="15" t="n"/>
      <x:c r="B67" s="15" t="n"/>
      <x:c r="C67" s="15" t="n"/>
      <x:c r="D67" s="15" t="n"/>
      <x:c r="E67" s="15" t="n"/>
      <x:c r="F67" s="15" t="n"/>
      <x:c r="G67" s="15" t="n"/>
      <x:c r="H67" s="15" t="n"/>
      <x:c r="I67" s="15" t="n"/>
      <x:c r="J67" s="15" t="n"/>
      <x:c r="K67" s="15" t="n"/>
      <x:c r="L67" s="15" t="n"/>
      <x:c r="M67" s="15" t="n"/>
    </x:row>
    <x:row r="68">
      <x:c r="A68" s="15" t="n"/>
      <x:c r="B68" s="15" t="n"/>
      <x:c r="C68" s="15" t="n"/>
      <x:c r="D68" s="15" t="n"/>
      <x:c r="E68" s="15" t="n"/>
      <x:c r="F68" s="15" t="n"/>
      <x:c r="G68" s="15" t="n"/>
      <x:c r="H68" s="15" t="n"/>
      <x:c r="I68" s="15" t="n"/>
      <x:c r="J68" s="15" t="n"/>
      <x:c r="K68" s="15" t="n"/>
      <x:c r="L68" s="15" t="n"/>
      <x:c r="M68" s="15" t="n"/>
    </x:row>
    <x:row r="69">
      <x:c r="A69" s="15" t="n"/>
      <x:c r="B69" s="15" t="n"/>
      <x:c r="C69" s="15" t="n"/>
      <x:c r="D69" s="15" t="n"/>
      <x:c r="E69" s="15" t="n"/>
      <x:c r="F69" s="15" t="n"/>
      <x:c r="G69" s="15" t="n"/>
      <x:c r="H69" s="15" t="n"/>
      <x:c r="I69" s="15" t="n"/>
      <x:c r="J69" s="15" t="n"/>
      <x:c r="K69" s="15" t="n"/>
      <x:c r="L69" s="15" t="n"/>
      <x:c r="M69" s="15" t="n"/>
    </x:row>
    <x:row r="70">
      <x:c r="A70" s="15" t="n"/>
      <x:c r="B70" s="15" t="n"/>
      <x:c r="C70" s="15" t="n"/>
      <x:c r="D70" s="15" t="n"/>
      <x:c r="E70" s="15" t="n"/>
      <x:c r="F70" s="15" t="n"/>
      <x:c r="G70" s="15" t="n"/>
      <x:c r="H70" s="15" t="n"/>
      <x:c r="I70" s="15" t="n"/>
      <x:c r="J70" s="15" t="n"/>
      <x:c r="K70" s="15" t="n"/>
      <x:c r="L70" s="15" t="n"/>
      <x:c r="M70" s="15" t="n"/>
    </x:row>
    <x:row r="71">
      <x:c r="A71" s="15" t="n"/>
      <x:c r="B71" s="15" t="n"/>
      <x:c r="C71" s="15" t="n"/>
      <x:c r="D71" s="15" t="n"/>
      <x:c r="E71" s="15" t="n"/>
      <x:c r="F71" s="15" t="n"/>
      <x:c r="G71" s="15" t="n"/>
      <x:c r="H71" s="15" t="n"/>
      <x:c r="I71" s="15" t="n"/>
      <x:c r="J71" s="15" t="n"/>
      <x:c r="K71" s="15" t="n"/>
      <x:c r="L71" s="15" t="n"/>
      <x:c r="M71" s="15" t="n"/>
    </x:row>
    <x:row r="72">
      <x:c r="A72" s="15" t="n"/>
      <x:c r="B72" s="15" t="n"/>
      <x:c r="C72" s="15" t="n"/>
      <x:c r="D72" s="15" t="n"/>
      <x:c r="E72" s="15" t="n"/>
      <x:c r="F72" s="15" t="n"/>
      <x:c r="G72" s="15" t="n"/>
      <x:c r="H72" s="15" t="n"/>
      <x:c r="I72" s="15" t="n"/>
      <x:c r="J72" s="15" t="n"/>
      <x:c r="K72" s="15" t="n"/>
      <x:c r="L72" s="15" t="n"/>
      <x:c r="M72" s="15" t="n"/>
    </x:row>
    <x:row r="73">
      <x:c r="A73" s="15" t="n"/>
      <x:c r="B73" s="15" t="n"/>
      <x:c r="C73" s="15" t="n"/>
      <x:c r="D73" s="15" t="n"/>
      <x:c r="E73" s="15" t="n"/>
      <x:c r="F73" s="15" t="n"/>
      <x:c r="G73" s="15" t="n"/>
      <x:c r="H73" s="15" t="n"/>
      <x:c r="I73" s="15" t="n"/>
      <x:c r="J73" s="15" t="n"/>
      <x:c r="K73" s="15" t="n"/>
      <x:c r="L73" s="15" t="n"/>
      <x:c r="M73" s="15" t="n"/>
    </x:row>
    <x:row r="74">
      <x:c r="A74" s="15" t="n"/>
      <x:c r="B74" s="15" t="n"/>
      <x:c r="C74" s="15" t="n"/>
      <x:c r="D74" s="15" t="n"/>
      <x:c r="E74" s="15" t="n"/>
      <x:c r="F74" s="15" t="n"/>
      <x:c r="G74" s="15" t="n"/>
      <x:c r="H74" s="15" t="n"/>
      <x:c r="I74" s="15" t="n"/>
      <x:c r="J74" s="15" t="n"/>
      <x:c r="K74" s="15" t="n"/>
      <x:c r="L74" s="15" t="n"/>
      <x:c r="M74" s="15" t="n"/>
    </x:row>
    <x:row r="75">
      <x:c r="A75" s="15" t="n"/>
      <x:c r="B75" s="15" t="n"/>
      <x:c r="C75" s="15" t="n"/>
      <x:c r="D75" s="15" t="n"/>
      <x:c r="E75" s="15" t="n"/>
      <x:c r="F75" s="15" t="n"/>
      <x:c r="G75" s="15" t="n"/>
      <x:c r="H75" s="15" t="n"/>
      <x:c r="I75" s="15" t="n"/>
      <x:c r="J75" s="15" t="n"/>
      <x:c r="K75" s="15" t="n"/>
      <x:c r="L75" s="15" t="n"/>
      <x:c r="M75" s="15" t="n"/>
    </x:row>
    <x:row r="76">
      <x:c r="A76" s="15" t="n"/>
      <x:c r="B76" s="15" t="n"/>
      <x:c r="C76" s="15" t="n"/>
      <x:c r="D76" s="15" t="n"/>
      <x:c r="E76" s="15" t="n"/>
      <x:c r="F76" s="15" t="n"/>
      <x:c r="G76" s="15" t="n"/>
      <x:c r="H76" s="15" t="n"/>
      <x:c r="I76" s="15" t="n"/>
      <x:c r="J76" s="15" t="n"/>
      <x:c r="K76" s="15" t="n"/>
      <x:c r="L76" s="15" t="n"/>
      <x:c r="M76" s="15" t="n"/>
    </x:row>
    <x:row r="77">
      <x:c r="A77" s="15" t="n"/>
      <x:c r="B77" s="15" t="n"/>
      <x:c r="C77" s="15" t="n"/>
      <x:c r="D77" s="15" t="n"/>
      <x:c r="E77" s="15" t="n"/>
      <x:c r="F77" s="15" t="n"/>
      <x:c r="G77" s="15" t="n"/>
      <x:c r="H77" s="15" t="n"/>
      <x:c r="I77" s="15" t="n"/>
      <x:c r="J77" s="15" t="n"/>
      <x:c r="K77" s="15" t="n"/>
      <x:c r="L77" s="15" t="n"/>
      <x:c r="M77" s="15" t="n"/>
    </x:row>
    <x:row r="78">
      <x:c r="A78" s="15" t="n"/>
      <x:c r="B78" s="15" t="n"/>
      <x:c r="C78" s="15" t="n"/>
      <x:c r="D78" s="15" t="n"/>
      <x:c r="E78" s="15" t="n"/>
      <x:c r="F78" s="15" t="n"/>
      <x:c r="G78" s="15" t="n"/>
      <x:c r="H78" s="15" t="n"/>
      <x:c r="I78" s="15" t="n"/>
      <x:c r="J78" s="15" t="n"/>
      <x:c r="K78" s="15" t="n"/>
      <x:c r="L78" s="15" t="n"/>
      <x:c r="M78" s="15" t="n"/>
    </x:row>
    <x:row r="79">
      <x:c r="A79" s="15" t="n"/>
      <x:c r="B79" s="15" t="n"/>
      <x:c r="C79" s="15" t="n"/>
      <x:c r="D79" s="15" t="n"/>
      <x:c r="E79" s="15" t="n"/>
      <x:c r="F79" s="15" t="n"/>
      <x:c r="G79" s="15" t="n"/>
      <x:c r="H79" s="15" t="n"/>
      <x:c r="I79" s="15" t="n"/>
      <x:c r="J79" s="15" t="n"/>
      <x:c r="K79" s="15" t="n"/>
      <x:c r="L79" s="15" t="n"/>
      <x:c r="M79" s="15" t="n"/>
    </x:row>
    <x:row r="80">
      <x:c r="A80" s="15" t="n"/>
      <x:c r="B80" s="15" t="n"/>
      <x:c r="C80" s="15" t="n"/>
      <x:c r="D80" s="15" t="n"/>
      <x:c r="E80" s="15" t="n"/>
      <x:c r="F80" s="15" t="n"/>
      <x:c r="G80" s="15" t="n"/>
      <x:c r="H80" s="15" t="n"/>
      <x:c r="I80" s="15" t="n"/>
      <x:c r="J80" s="15" t="n"/>
      <x:c r="K80" s="15" t="n"/>
      <x:c r="L80" s="15" t="n"/>
      <x:c r="M80" s="15" t="n"/>
    </x:row>
    <x:row r="81">
      <x:c r="A81" s="15" t="n"/>
      <x:c r="B81" s="15" t="n"/>
      <x:c r="C81" s="15" t="n"/>
      <x:c r="D81" s="15" t="n"/>
      <x:c r="E81" s="15" t="n"/>
      <x:c r="F81" s="15" t="n"/>
      <x:c r="G81" s="15" t="n"/>
      <x:c r="H81" s="15" t="n"/>
      <x:c r="I81" s="15" t="n"/>
      <x:c r="J81" s="15" t="n"/>
      <x:c r="K81" s="15" t="n"/>
      <x:c r="L81" s="15" t="n"/>
      <x:c r="M81" s="15" t="n"/>
    </x:row>
    <x:row r="82">
      <x:c r="A82" s="15" t="n"/>
      <x:c r="B82" s="15" t="n"/>
      <x:c r="C82" s="15" t="n"/>
      <x:c r="D82" s="15" t="n"/>
      <x:c r="E82" s="15" t="n"/>
      <x:c r="F82" s="15" t="n"/>
      <x:c r="G82" s="15" t="n"/>
      <x:c r="H82" s="15" t="n"/>
      <x:c r="I82" s="15" t="n"/>
      <x:c r="J82" s="15" t="n"/>
      <x:c r="K82" s="15" t="n"/>
      <x:c r="L82" s="15" t="n"/>
      <x:c r="M82" s="15" t="n"/>
    </x:row>
    <x:row r="83">
      <x:c r="A83" s="15" t="n"/>
      <x:c r="B83" s="15" t="n"/>
      <x:c r="C83" s="15" t="n"/>
      <x:c r="D83" s="15" t="n"/>
      <x:c r="E83" s="15" t="n"/>
      <x:c r="F83" s="15" t="n"/>
      <x:c r="G83" s="15" t="n"/>
      <x:c r="H83" s="15" t="n"/>
      <x:c r="I83" s="15" t="n"/>
      <x:c r="J83" s="15" t="n"/>
      <x:c r="K83" s="15" t="n"/>
      <x:c r="L83" s="15" t="n"/>
      <x:c r="M83" s="15" t="n"/>
    </x:row>
    <x:row r="84">
      <x:c r="A84" s="15" t="n"/>
      <x:c r="B84" s="15" t="n"/>
      <x:c r="C84" s="15" t="n"/>
      <x:c r="D84" s="15" t="n"/>
      <x:c r="E84" s="15" t="n"/>
      <x:c r="F84" s="15" t="n"/>
      <x:c r="G84" s="15" t="n"/>
      <x:c r="H84" s="15" t="n"/>
      <x:c r="I84" s="15" t="n"/>
      <x:c r="J84" s="15" t="n"/>
      <x:c r="K84" s="15" t="n"/>
      <x:c r="L84" s="15" t="n"/>
      <x:c r="M84" s="15" t="n"/>
    </x:row>
    <x:row r="85">
      <x:c r="A85" s="15" t="n"/>
      <x:c r="B85" s="15" t="n"/>
      <x:c r="C85" s="15" t="n"/>
      <x:c r="D85" s="15" t="n"/>
      <x:c r="E85" s="15" t="n"/>
      <x:c r="F85" s="15" t="n"/>
      <x:c r="G85" s="15" t="n"/>
      <x:c r="H85" s="15" t="n"/>
      <x:c r="I85" s="15" t="n"/>
      <x:c r="J85" s="15" t="n"/>
      <x:c r="K85" s="15" t="n"/>
      <x:c r="L85" s="15" t="n"/>
      <x:c r="M85" s="15" t="n"/>
    </x:row>
    <x:row r="86">
      <x:c r="A86" s="15" t="n"/>
      <x:c r="B86" s="15" t="n"/>
      <x:c r="C86" s="15" t="n"/>
      <x:c r="D86" s="15" t="n"/>
      <x:c r="E86" s="15" t="n"/>
      <x:c r="F86" s="15" t="n"/>
      <x:c r="G86" s="15" t="n"/>
      <x:c r="H86" s="15" t="n"/>
      <x:c r="I86" s="15" t="n"/>
      <x:c r="J86" s="15" t="n"/>
      <x:c r="K86" s="15" t="n"/>
      <x:c r="L86" s="15" t="n"/>
      <x:c r="M86" s="15" t="n"/>
    </x:row>
    <x:row r="87">
      <x:c r="A87" s="15" t="n"/>
      <x:c r="B87" s="15" t="n"/>
      <x:c r="C87" s="15" t="n"/>
      <x:c r="D87" s="15" t="n"/>
      <x:c r="E87" s="15" t="n"/>
      <x:c r="F87" s="15" t="n"/>
      <x:c r="G87" s="15" t="n"/>
      <x:c r="H87" s="15" t="n"/>
      <x:c r="I87" s="15" t="n"/>
      <x:c r="J87" s="15" t="n"/>
      <x:c r="K87" s="15" t="n"/>
      <x:c r="L87" s="15" t="n"/>
      <x:c r="M87" s="15" t="n"/>
    </x:row>
    <x:row r="88">
      <x:c r="A88" s="15" t="n"/>
      <x:c r="B88" s="15" t="n"/>
      <x:c r="C88" s="15" t="n"/>
      <x:c r="D88" s="15" t="n"/>
      <x:c r="E88" s="15" t="n"/>
      <x:c r="F88" s="15" t="n"/>
      <x:c r="G88" s="15" t="n"/>
      <x:c r="H88" s="15" t="n"/>
      <x:c r="I88" s="15" t="n"/>
      <x:c r="J88" s="15" t="n"/>
      <x:c r="K88" s="15" t="n"/>
      <x:c r="L88" s="15" t="n"/>
      <x:c r="M88" s="15" t="n"/>
    </x:row>
    <x:row r="89">
      <x:c r="A89" s="15" t="n"/>
      <x:c r="B89" s="15" t="n"/>
      <x:c r="C89" s="15" t="n"/>
      <x:c r="D89" s="15" t="n"/>
      <x:c r="E89" s="15" t="n"/>
      <x:c r="F89" s="15" t="n"/>
      <x:c r="G89" s="15" t="n"/>
      <x:c r="H89" s="15" t="n"/>
      <x:c r="I89" s="15" t="n"/>
      <x:c r="J89" s="15" t="n"/>
      <x:c r="K89" s="15" t="n"/>
      <x:c r="L89" s="15" t="n"/>
      <x:c r="M89" s="15" t="n"/>
    </x:row>
    <x:row r="90">
      <x:c r="A90" s="15" t="n"/>
      <x:c r="B90" s="15" t="n"/>
      <x:c r="C90" s="15" t="n"/>
      <x:c r="D90" s="15" t="n"/>
      <x:c r="E90" s="15" t="n"/>
      <x:c r="F90" s="15" t="n"/>
      <x:c r="G90" s="15" t="n"/>
      <x:c r="H90" s="15" t="n"/>
      <x:c r="I90" s="15" t="n"/>
      <x:c r="J90" s="15" t="n"/>
      <x:c r="K90" s="15" t="n"/>
      <x:c r="L90" s="15" t="n"/>
      <x:c r="M90" s="15" t="n"/>
    </x:row>
    <x:row r="91">
      <x:c r="A91" s="15" t="n"/>
      <x:c r="B91" s="15" t="n"/>
      <x:c r="C91" s="15" t="n"/>
      <x:c r="D91" s="15" t="n"/>
      <x:c r="E91" s="15" t="n"/>
      <x:c r="F91" s="15" t="n"/>
      <x:c r="G91" s="15" t="n"/>
      <x:c r="H91" s="15" t="n"/>
      <x:c r="I91" s="15" t="n"/>
      <x:c r="J91" s="15" t="n"/>
      <x:c r="K91" s="15" t="n"/>
      <x:c r="L91" s="15" t="n"/>
      <x:c r="M91" s="15" t="n"/>
    </x:row>
    <x:row r="92">
      <x:c r="A92" s="15" t="n"/>
      <x:c r="B92" s="15" t="n"/>
      <x:c r="C92" s="15" t="n"/>
      <x:c r="D92" s="15" t="n"/>
      <x:c r="E92" s="15" t="n"/>
      <x:c r="F92" s="15" t="n"/>
      <x:c r="G92" s="15" t="n"/>
      <x:c r="H92" s="15" t="n"/>
      <x:c r="I92" s="15" t="n"/>
      <x:c r="J92" s="15" t="n"/>
      <x:c r="K92" s="15" t="n"/>
      <x:c r="L92" s="15" t="n"/>
      <x:c r="M92" s="15" t="n"/>
    </x:row>
    <x:row r="93">
      <x:c r="A93" s="15" t="n"/>
      <x:c r="B93" s="15" t="n"/>
      <x:c r="C93" s="15" t="n"/>
      <x:c r="D93" s="15" t="n"/>
      <x:c r="E93" s="15" t="n"/>
      <x:c r="F93" s="15" t="n"/>
      <x:c r="G93" s="15" t="n"/>
      <x:c r="H93" s="15" t="n"/>
      <x:c r="I93" s="15" t="n"/>
      <x:c r="J93" s="15" t="n"/>
      <x:c r="K93" s="15" t="n"/>
      <x:c r="L93" s="15" t="n"/>
      <x:c r="M93" s="15" t="n"/>
    </x:row>
    <x:row r="94">
      <x:c r="A94" s="15" t="n"/>
      <x:c r="B94" s="15" t="n"/>
      <x:c r="C94" s="15" t="n"/>
      <x:c r="D94" s="15" t="n"/>
      <x:c r="E94" s="15" t="n"/>
      <x:c r="F94" s="15" t="n"/>
      <x:c r="G94" s="15" t="n"/>
      <x:c r="H94" s="15" t="n"/>
      <x:c r="I94" s="15" t="n"/>
      <x:c r="J94" s="15" t="n"/>
      <x:c r="K94" s="15" t="n"/>
      <x:c r="L94" s="15" t="n"/>
      <x:c r="M94" s="15" t="n"/>
    </x:row>
    <x:row r="95">
      <x:c r="A95" s="15" t="n"/>
      <x:c r="B95" s="15" t="n"/>
      <x:c r="C95" s="15" t="n"/>
      <x:c r="D95" s="15" t="n"/>
      <x:c r="E95" s="15" t="n"/>
      <x:c r="F95" s="15" t="n"/>
      <x:c r="G95" s="15" t="n"/>
      <x:c r="H95" s="15" t="n"/>
      <x:c r="I95" s="15" t="n"/>
      <x:c r="J95" s="15" t="n"/>
      <x:c r="K95" s="15" t="n"/>
      <x:c r="L95" s="15" t="n"/>
      <x:c r="M95" s="15" t="n"/>
    </x:row>
    <x:row r="96">
      <x:c r="A96" s="15" t="n"/>
      <x:c r="B96" s="15" t="n"/>
      <x:c r="C96" s="15" t="n"/>
      <x:c r="D96" s="15" t="n"/>
      <x:c r="E96" s="15" t="n"/>
      <x:c r="F96" s="15" t="n"/>
      <x:c r="G96" s="15" t="n"/>
      <x:c r="H96" s="15" t="n"/>
      <x:c r="I96" s="15" t="n"/>
      <x:c r="J96" s="15" t="n"/>
      <x:c r="K96" s="15" t="n"/>
      <x:c r="L96" s="15" t="n"/>
      <x:c r="M96" s="15" t="n"/>
    </x:row>
    <x:row r="97">
      <x:c r="A97" s="15" t="n"/>
      <x:c r="B97" s="15" t="n"/>
      <x:c r="C97" s="15" t="n"/>
      <x:c r="D97" s="15" t="n"/>
      <x:c r="E97" s="15" t="n"/>
      <x:c r="F97" s="15" t="n"/>
      <x:c r="G97" s="15" t="n"/>
      <x:c r="H97" s="15" t="n"/>
      <x:c r="I97" s="15" t="n"/>
      <x:c r="J97" s="15" t="n"/>
      <x:c r="K97" s="15" t="n"/>
      <x:c r="L97" s="15" t="n"/>
      <x:c r="M97" s="15" t="n"/>
    </x:row>
    <x:row r="98">
      <x:c r="A98" s="15" t="n"/>
      <x:c r="B98" s="15" t="n"/>
      <x:c r="C98" s="15" t="n"/>
      <x:c r="D98" s="15" t="n"/>
      <x:c r="E98" s="15" t="n"/>
      <x:c r="F98" s="15" t="n"/>
      <x:c r="G98" s="15" t="n"/>
      <x:c r="H98" s="15" t="n"/>
      <x:c r="I98" s="15" t="n"/>
      <x:c r="J98" s="15" t="n"/>
      <x:c r="K98" s="15" t="n"/>
      <x:c r="L98" s="15" t="n"/>
      <x:c r="M98" s="15" t="n"/>
    </x:row>
    <x:row r="99">
      <x:c r="A99" s="15" t="n"/>
      <x:c r="B99" s="15" t="n"/>
      <x:c r="C99" s="15" t="n"/>
      <x:c r="D99" s="15" t="n"/>
      <x:c r="E99" s="15" t="n"/>
      <x:c r="F99" s="15" t="n"/>
      <x:c r="G99" s="15" t="n"/>
      <x:c r="H99" s="15" t="n"/>
      <x:c r="I99" s="15" t="n"/>
      <x:c r="J99" s="15" t="n"/>
      <x:c r="K99" s="15" t="n"/>
      <x:c r="L99" s="15" t="n"/>
      <x:c r="M99" s="15" t="n"/>
    </x:row>
    <x:row r="100">
      <x:c r="A100" s="15" t="n"/>
      <x:c r="B100" s="15" t="n"/>
      <x:c r="C100" s="15" t="n"/>
      <x:c r="D100" s="15" t="n"/>
      <x:c r="E100" s="15" t="n"/>
      <x:c r="F100" s="15" t="n"/>
      <x:c r="G100" s="15" t="n"/>
      <x:c r="H100" s="15" t="n"/>
      <x:c r="I100" s="15" t="n"/>
      <x:c r="J100" s="15" t="n"/>
      <x:c r="K100" s="15" t="n"/>
      <x:c r="L100" s="15" t="n"/>
      <x:c r="M100" s="15" t="n"/>
    </x:row>
  </x:sheetData>
  <x:mergeCells>
    <x:mergeCell ref="A1:M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style="1" customWidth="1"/>
    <x:col min="2" max="2" width="12" style="1" customWidth="1"/>
    <x:col min="3" max="3" width="8" style="1" customWidth="1"/>
    <x:col min="4" max="4" width="12" style="1" customWidth="1"/>
    <x:col min="5" max="5" width="40" style="1" customWidth="1"/>
    <x:col min="6" max="6" width="34" style="1" customWidth="1"/>
    <x:col min="7" max="7" width="14" style="1" customWidth="1"/>
    <x:col min="8" max="8" width="30" style="1" customWidth="1"/>
    <x:col min="9" max="9" width="24" style="1" customWidth="1"/>
  </x:cols>
  <x:sheetData>
    <x:row r="1">
      <x:c r="A1" s="31" t="inlineStr">
        <x:is>
          <x:t xml:space="preserve">Student Calendar (view-only; auto-updates from Master Schedule)</x:t>
        </x:is>
      </x:c>
      <x:c r="B1" s="3" t="n"/>
      <x:c r="C1" s="3" t="n"/>
      <x:c r="D1" s="3" t="n"/>
      <x:c r="E1" s="3" t="n"/>
      <x:c r="F1" s="3" t="n"/>
      <x:c r="G1" s="3" t="n"/>
      <x:c r="H1" s="3" t="n"/>
      <x:c r="I1" s="3" t="n"/>
    </x:row>
    <x:row r="2">
      <x:c r="A2" s="15" t="n"/>
      <x:c r="B2" s="15" t="n"/>
      <x:c r="C2" s="15" t="n"/>
      <x:c r="D2" s="15" t="n"/>
      <x:c r="E2" s="15" t="n"/>
      <x:c r="F2" s="15" t="n"/>
      <x:c r="G2" s="15" t="n"/>
      <x:c r="H2" s="15" t="n"/>
      <x:c r="I2" s="15" t="n"/>
    </x:row>
    <x:row r="3">
      <x:c r="A3" s="8" t="inlineStr">
        <x:is>
          <x:t xml:space="preserve">Date</x:t>
        </x:is>
      </x:c>
      <x:c r="B3" s="8" t="inlineStr">
        <x:is>
          <x:t xml:space="preserve">Day</x:t>
        </x:is>
      </x:c>
      <x:c r="C3" s="8" t="inlineStr">
        <x:is>
          <x:t xml:space="preserve">Week</x:t>
        </x:is>
      </x:c>
      <x:c r="D3" s="8" t="inlineStr">
        <x:is>
          <x:t xml:space="preserve">Chapter(s)</x:t>
        </x:is>
      </x:c>
      <x:c r="E3" s="8" t="inlineStr">
        <x:is>
          <x:t xml:space="preserve">Scientific Question</x:t>
        </x:is>
      </x:c>
      <x:c r="F3" s="8" t="inlineStr">
        <x:is>
          <x:t xml:space="preserve">Topic</x:t>
        </x:is>
      </x:c>
      <x:c r="G3" s="8" t="inlineStr">
        <x:is>
          <x:t xml:space="preserve">Prep / Reading</x:t>
        </x:is>
      </x:c>
      <x:c r="H3" s="8" t="inlineStr">
        <x:is>
          <x:t xml:space="preserve">Due</x:t>
        </x:is>
      </x:c>
      <x:c r="I3" s="8" t="inlineStr">
        <x:is>
          <x:t xml:space="preserve">Assessment</x:t>
        </x:is>
      </x:c>
    </x:row>
    <x:row r="4">
      <x:c r="A4" s="15" t="str">
        <x:f t="array" ref="A4:I4">IF('Master Schedule'!$O2=TRUE,'Master Schedule'!A2,"")</x:f>
        <x:v>2025-07-14</x:v>
      </x:c>
      <x:c r="B4" s="15" t="str">
        <x:f>IF('Master Schedule'!$O2=TRUE,'Master Schedule'!C2&amp;"","")</x:f>
        <x:v>Monday</x:v>
      </x:c>
      <x:c r="C4" s="15" t="n">
        <x:f>IF('Master Schedule'!$O2=TRUE,'Master Schedule'!B2,"")</x:f>
        <x:v>1</x:v>
      </x:c>
      <x:c r="D4" s="15" t="str">
        <x:f>IF('Master Schedule'!$O2=TRUE,'Master Schedule'!E2&amp;"","")</x:f>
        <x:v>1</x:v>
      </x:c>
      <x:c r="E4" s="15" t="str">
        <x:f>IF('Master Schedule'!$O2=TRUE,'Master Schedule'!F2&amp;"","")</x:f>
        <x:v>What is biochemistry, and how do chemical principles explain living systems?</x:v>
      </x:c>
      <x:c r="F4" s="15" t="str">
        <x:f>IF('Master Schedule'!$O2=TRUE,'Master Schedule'!H2&amp;"","")</x:f>
        <x:v>Chapter 1: Biochemistry Concepts and Themes</x:v>
      </x:c>
      <x:c r="G4" s="15" t="str">
        <x:f>IF('Master Schedule'!$O2=TRUE,'Master Schedule'!G2&amp;"","")</x:f>
        <x:v>1.1-1.5</x:v>
      </x:c>
      <x:c r="H4" s="15" t="str">
        <x:f>IF('Master Schedule'!$O2=TRUE,IF('Master Schedule'!J2&lt;&gt;"",'Master Schedule'!J2&amp;"",'Master Schedule'!K2&amp;""),"")</x:f>
      </x:c>
      <x:c r="I4" s="15" t="str">
        <x:f>IF('Master Schedule'!$O2=TRUE,'Master Schedule'!L2&amp;"","")</x:f>
      </x:c>
    </x:row>
    <x:row r="5">
      <x:c r="A5" s="15" t="str">
        <x:f>IF('Master Schedule'!$O3=TRUE,'Master Schedule'!A3,"")</x:f>
        <x:v>2025-07-15</x:v>
      </x:c>
      <x:c r="B5" s="15" t="str">
        <x:f>IF('Master Schedule'!$O3=TRUE,'Master Schedule'!C3&amp;"","")</x:f>
        <x:v>Tuesday</x:v>
      </x:c>
      <x:c r="C5" s="15" t="n">
        <x:f>IF('Master Schedule'!$O3=TRUE,'Master Schedule'!B3,"")</x:f>
        <x:v>1</x:v>
      </x:c>
      <x:c r="D5" s="15" t="str">
        <x:f>IF('Master Schedule'!$O3=TRUE,'Master Schedule'!E3&amp;"","")</x:f>
        <x:v>2</x:v>
      </x:c>
      <x:c r="E5" s="15" t="str">
        <x:f>IF('Master Schedule'!$O3=TRUE,'Master Schedule'!F3&amp;"","")</x:f>
        <x:v>Why is water the molecular environment that makes life possible?</x:v>
      </x:c>
      <x:c r="F5" s="15" t="str">
        <x:f>IF('Master Schedule'!$O3=TRUE,'Master Schedule'!H3&amp;"","")</x:f>
        <x:v>Chapter 2: Water: The Chemistry of Life</x:v>
      </x:c>
      <x:c r="G5" s="15" t="str">
        <x:f>IF('Master Schedule'!$O3=TRUE,'Master Schedule'!G3&amp;"","")</x:f>
        <x:v>2.1-2.3</x:v>
      </x:c>
      <x:c r="H5" s="15" t="str">
        <x:f>IF('Master Schedule'!$O3=TRUE,IF('Master Schedule'!J3&lt;&gt;"",'Master Schedule'!J3&amp;"",'Master Schedule'!K3&amp;""),"")</x:f>
        <x:v>Adaptive Quiz Ch 1 due 11:59 PM</x:v>
      </x:c>
      <x:c r="I5" s="15" t="str">
        <x:f>IF('Master Schedule'!$O3=TRUE,'Master Schedule'!L3&amp;"","")</x:f>
      </x:c>
    </x:row>
    <x:row r="6">
      <x:c r="A6" s="15" t="str">
        <x:f>IF('Master Schedule'!$O4=TRUE,'Master Schedule'!A4,"")</x:f>
        <x:v>2025-07-16</x:v>
      </x:c>
      <x:c r="B6" s="15" t="str">
        <x:f>IF('Master Schedule'!$O4=TRUE,'Master Schedule'!C4&amp;"","")</x:f>
        <x:v>Wednesday</x:v>
      </x:c>
      <x:c r="C6" s="15" t="n">
        <x:f>IF('Master Schedule'!$O4=TRUE,'Master Schedule'!B4,"")</x:f>
        <x:v>1</x:v>
      </x:c>
      <x:c r="D6" s="15" t="str">
        <x:f>IF('Master Schedule'!$O4=TRUE,'Master Schedule'!E4&amp;"","")</x:f>
        <x:v>3</x:v>
      </x:c>
      <x:c r="E6" s="15" t="str">
        <x:f>IF('Master Schedule'!$O4=TRUE,'Master Schedule'!F4&amp;"","")</x:f>
        <x:v>How do amino acid properties determine protein behavior?</x:v>
      </x:c>
      <x:c r="F6" s="15" t="str">
        <x:f>IF('Master Schedule'!$O4=TRUE,'Master Schedule'!H4&amp;"","")</x:f>
        <x:v>Chapter 3: Amino acids, peptides, and proteins</x:v>
      </x:c>
      <x:c r="G6" s="15" t="str">
        <x:f>IF('Master Schedule'!$O4=TRUE,'Master Schedule'!G4&amp;"","")</x:f>
        <x:v>3.1-3.2</x:v>
      </x:c>
      <x:c r="H6" s="15" t="str">
        <x:f>IF('Master Schedule'!$O4=TRUE,IF('Master Schedule'!J4&lt;&gt;"",'Master Schedule'!J4&amp;"",'Master Schedule'!K4&amp;""),"")</x:f>
        <x:v>Adaptive Quiz Ch 2 due 11:59 PM</x:v>
      </x:c>
      <x:c r="I6" s="15" t="str">
        <x:f>IF('Master Schedule'!$O4=TRUE,'Master Schedule'!L4&amp;"","")</x:f>
      </x:c>
    </x:row>
    <x:row r="7">
      <x:c r="A7" s="15" t="str">
        <x:f>IF('Master Schedule'!$O5=TRUE,'Master Schedule'!A5,"")</x:f>
        <x:v>2025-07-17</x:v>
      </x:c>
      <x:c r="B7" s="15" t="str">
        <x:f>IF('Master Schedule'!$O5=TRUE,'Master Schedule'!C5&amp;"","")</x:f>
        <x:v>Thursday</x:v>
      </x:c>
      <x:c r="C7" s="15" t="n">
        <x:f>IF('Master Schedule'!$O5=TRUE,'Master Schedule'!B5,"")</x:f>
        <x:v>1</x:v>
      </x:c>
      <x:c r="D7" s="15" t="str">
        <x:f>IF('Master Schedule'!$O5=TRUE,'Master Schedule'!E5&amp;"","")</x:f>
        <x:v>3</x:v>
      </x:c>
      <x:c r="E7" s="15" t="str">
        <x:f>IF('Master Schedule'!$O5=TRUE,'Master Schedule'!F5&amp;"","")</x:f>
        <x:v>How do amino acid properties determine protein behavior?</x:v>
      </x:c>
      <x:c r="F7" s="15" t="str">
        <x:f>IF('Master Schedule'!$O5=TRUE,'Master Schedule'!H5&amp;"","")</x:f>
        <x:v>Chapter 3 continued</x:v>
      </x:c>
      <x:c r="G7" s="15" t="str">
        <x:f>IF('Master Schedule'!$O5=TRUE,'Master Schedule'!G5&amp;"","")</x:f>
        <x:v>3.3-3.4</x:v>
      </x:c>
      <x:c r="H7" s="15" t="str">
        <x:f>IF('Master Schedule'!$O5=TRUE,IF('Master Schedule'!J5&lt;&gt;"",'Master Schedule'!J5&amp;"",'Master Schedule'!K5&amp;""),"")</x:f>
      </x:c>
      <x:c r="I7" s="15" t="str">
        <x:f>IF('Master Schedule'!$O5=TRUE,'Master Schedule'!L5&amp;"","")</x:f>
      </x:c>
    </x:row>
    <x:row r="8">
      <x:c r="A8" s="15" t="str">
        <x:f>IF('Master Schedule'!$O6=TRUE,'Master Schedule'!A6,"")</x:f>
        <x:v>2025-07-18</x:v>
      </x:c>
      <x:c r="B8" s="15" t="str">
        <x:f>IF('Master Schedule'!$O6=TRUE,'Master Schedule'!C6&amp;"","")</x:f>
        <x:v>Friday</x:v>
      </x:c>
      <x:c r="C8" s="15" t="n">
        <x:f>IF('Master Schedule'!$O6=TRUE,'Master Schedule'!B6,"")</x:f>
        <x:v>1</x:v>
      </x:c>
      <x:c r="D8" s="15" t="str">
        <x:f>IF('Master Schedule'!$O6=TRUE,'Master Schedule'!E6&amp;"","")</x:f>
        <x:v>4</x:v>
      </x:c>
      <x:c r="E8" s="15" t="str">
        <x:f>IF('Master Schedule'!$O6=TRUE,'Master Schedule'!F6&amp;"","")</x:f>
        <x:v>How does protein structure create biological function?</x:v>
      </x:c>
      <x:c r="F8" s="15" t="str">
        <x:f>IF('Master Schedule'!$O6=TRUE,'Master Schedule'!H6&amp;"","")</x:f>
        <x:v>Chapter 4: Protein Structure</x:v>
      </x:c>
      <x:c r="G8" s="15" t="str">
        <x:f>IF('Master Schedule'!$O6=TRUE,'Master Schedule'!G6&amp;"","")</x:f>
        <x:v>4.1-4.4</x:v>
      </x:c>
      <x:c r="H8" s="15" t="str">
        <x:f>IF('Master Schedule'!$O6=TRUE,IF('Master Schedule'!J6&lt;&gt;"",'Master Schedule'!J6&amp;"",'Master Schedule'!K6&amp;""),"")</x:f>
        <x:v>Adaptive Quiz Ch 3 due 11:59 PM</x:v>
      </x:c>
      <x:c r="I8" s="15" t="str">
        <x:f>IF('Master Schedule'!$O6=TRUE,'Master Schedule'!L6&amp;"","")</x:f>
      </x:c>
    </x:row>
    <x:row r="9">
      <x:c r="A9" s="15" t="str">
        <x:f>IF('Master Schedule'!$O7=TRUE,'Master Schedule'!A7,"")</x:f>
        <x:v>2025-07-19</x:v>
      </x:c>
      <x:c r="B9" s="15" t="str">
        <x:f>IF('Master Schedule'!$O7=TRUE,'Master Schedule'!C7&amp;"","")</x:f>
        <x:v>Saturday</x:v>
      </x:c>
      <x:c r="C9" s="15" t="n">
        <x:f>IF('Master Schedule'!$O7=TRUE,'Master Schedule'!B7,"")</x:f>
        <x:v>1</x:v>
      </x:c>
      <x:c r="D9" s="15" t="str">
        <x:f>IF('Master Schedule'!$O7=TRUE,'Master Schedule'!E7&amp;"","")</x:f>
        <x:v>4</x:v>
      </x:c>
      <x:c r="E9" s="15" t="str">
        <x:f>IF('Master Schedule'!$O7=TRUE,'Master Schedule'!F7&amp;"","")</x:f>
        <x:v>How does protein structure create biological function?</x:v>
      </x:c>
      <x:c r="F9" s="15" t="str">
        <x:f>IF('Master Schedule'!$O7=TRUE,'Master Schedule'!H7&amp;"","")</x:f>
      </x:c>
      <x:c r="G9" s="15" t="str">
        <x:f>IF('Master Schedule'!$O7=TRUE,'Master Schedule'!G7&amp;"","")</x:f>
      </x:c>
      <x:c r="H9" s="15" t="str">
        <x:f>IF('Master Schedule'!$O7=TRUE,IF('Master Schedule'!J7&lt;&gt;"",'Master Schedule'!J7&amp;"",'Master Schedule'!K7&amp;""),"")</x:f>
        <x:v>Adaptive Quiz Ch 4 due 11:59 PM</x:v>
      </x:c>
      <x:c r="I9" s="15" t="str">
        <x:f>IF('Master Schedule'!$O7=TRUE,'Master Schedule'!L7&amp;"","")</x:f>
      </x:c>
    </x:row>
    <x:row r="10">
      <x:c r="A10" s="15" t="str">
        <x:f>IF('Master Schedule'!$O8=TRUE,'Master Schedule'!A8,"")</x:f>
        <x:v>2025-07-20</x:v>
      </x:c>
      <x:c r="B10" s="15" t="str">
        <x:f>IF('Master Schedule'!$O8=TRUE,'Master Schedule'!C8&amp;"","")</x:f>
        <x:v>Sunday</x:v>
      </x:c>
      <x:c r="C10" s="15" t="n">
        <x:f>IF('Master Schedule'!$O8=TRUE,'Master Schedule'!B8,"")</x:f>
        <x:v>1</x:v>
      </x:c>
      <x:c r="D10" s="15" t="str">
        <x:f>IF('Master Schedule'!$O8=TRUE,'Master Schedule'!E8&amp;"","")</x:f>
        <x:v>1-4</x:v>
      </x:c>
      <x:c r="E10" s="15" t="str">
        <x:f>IF('Master Schedule'!$O8=TRUE,'Master Schedule'!F8&amp;"","")</x:f>
        <x:v>How do these concepts connect across chapters 1-4?</x:v>
      </x:c>
      <x:c r="F10" s="15" t="str">
        <x:f>IF('Master Schedule'!$O8=TRUE,'Master Schedule'!H8&amp;"","")</x:f>
      </x:c>
      <x:c r="G10" s="15" t="str">
        <x:f>IF('Master Schedule'!$O8=TRUE,'Master Schedule'!G8&amp;"","")</x:f>
      </x:c>
      <x:c r="H10" s="15" t="str">
        <x:f>IF('Master Schedule'!$O8=TRUE,IF('Master Schedule'!J8&lt;&gt;"",'Master Schedule'!J8&amp;"",'Master Schedule'!K8&amp;""),"")</x:f>
        <x:v>Homework Chapters 1-4 due 11:59 PM</x:v>
      </x:c>
      <x:c r="I10" s="15" t="str">
        <x:f>IF('Master Schedule'!$O8=TRUE,'Master Schedule'!L8&amp;"","")</x:f>
      </x:c>
    </x:row>
    <x:row r="11">
      <x:c r="A11" s="15" t="str">
        <x:f>IF('Master Schedule'!$O9=TRUE,'Master Schedule'!A9,"")</x:f>
        <x:v>2025-07-21</x:v>
      </x:c>
      <x:c r="B11" s="15" t="str">
        <x:f>IF('Master Schedule'!$O9=TRUE,'Master Schedule'!C9&amp;"","")</x:f>
        <x:v>Monday</x:v>
      </x:c>
      <x:c r="C11" s="15" t="n">
        <x:f>IF('Master Schedule'!$O9=TRUE,'Master Schedule'!B9,"")</x:f>
        <x:v>2</x:v>
      </x:c>
      <x:c r="D11" s="15" t="str">
        <x:f>IF('Master Schedule'!$O9=TRUE,'Master Schedule'!E9&amp;"","")</x:f>
        <x:v>5</x:v>
      </x:c>
      <x:c r="E11" s="15" t="str">
        <x:f>IF('Master Schedule'!$O9=TRUE,'Master Schedule'!F9&amp;"","")</x:f>
        <x:v>How do proteins recognize and bind specific molecules?</x:v>
      </x:c>
      <x:c r="F11" s="15" t="str">
        <x:f>IF('Master Schedule'!$O9=TRUE,'Master Schedule'!H9&amp;"","")</x:f>
        <x:v>Chapter 5: Protein Function and Ligand Binding</x:v>
      </x:c>
      <x:c r="G11" s="15" t="str">
        <x:f>IF('Master Schedule'!$O9=TRUE,'Master Schedule'!G9&amp;"","")</x:f>
        <x:v>5.1-5.4</x:v>
      </x:c>
      <x:c r="H11" s="15" t="str">
        <x:f>IF('Master Schedule'!$O9=TRUE,IF('Master Schedule'!J9&lt;&gt;"",'Master Schedule'!J9&amp;"",'Master Schedule'!K9&amp;""),"")</x:f>
      </x:c>
      <x:c r="I11" s="15" t="str">
        <x:f>IF('Master Schedule'!$O9=TRUE,'Master Schedule'!L9&amp;"","")</x:f>
      </x:c>
    </x:row>
    <x:row r="12">
      <x:c r="A12" s="15" t="str">
        <x:f>IF('Master Schedule'!$O10=TRUE,'Master Schedule'!A10,"")</x:f>
        <x:v>2025-07-22</x:v>
      </x:c>
      <x:c r="B12" s="15" t="str">
        <x:f>IF('Master Schedule'!$O10=TRUE,'Master Schedule'!C10&amp;"","")</x:f>
        <x:v>Tuesday</x:v>
      </x:c>
      <x:c r="C12" s="15" t="n">
        <x:f>IF('Master Schedule'!$O10=TRUE,'Master Schedule'!B10,"")</x:f>
        <x:v>2</x:v>
      </x:c>
      <x:c r="D12" s="15" t="str">
        <x:f>IF('Master Schedule'!$O10=TRUE,'Master Schedule'!E10&amp;"","")</x:f>
        <x:v>1-4</x:v>
      </x:c>
      <x:c r="E12" s="15" t="str">
        <x:f>IF('Master Schedule'!$O10=TRUE,'Master Schedule'!F10&amp;"","")</x:f>
        <x:v>How do these concepts connect across chapters 1-4?</x:v>
      </x:c>
      <x:c r="F12" s="15" t="str">
        <x:f>IF('Master Schedule'!$O10=TRUE,'Master Schedule'!H10&amp;"","")</x:f>
        <x:v>Exam 1</x:v>
      </x:c>
      <x:c r="G12" s="15" t="str">
        <x:f>IF('Master Schedule'!$O10=TRUE,'Master Schedule'!G10&amp;"","")</x:f>
      </x:c>
      <x:c r="H12" s="15" t="str">
        <x:f>IF('Master Schedule'!$O10=TRUE,IF('Master Schedule'!J10&lt;&gt;"",'Master Schedule'!J10&amp;"",'Master Schedule'!K10&amp;""),"")</x:f>
      </x:c>
      <x:c r="I12" s="15" t="str">
        <x:f>IF('Master Schedule'!$O10=TRUE,'Master Schedule'!L10&amp;"","")</x:f>
        <x:v>Exam 1 Chapters 1-4 due 11:59 PM</x:v>
      </x:c>
    </x:row>
    <x:row r="13">
      <x:c r="A13" s="15" t="str">
        <x:f>IF('Master Schedule'!$O11=TRUE,'Master Schedule'!A11,"")</x:f>
        <x:v>2025-07-23</x:v>
      </x:c>
      <x:c r="B13" s="15" t="str">
        <x:f>IF('Master Schedule'!$O11=TRUE,'Master Schedule'!C11&amp;"","")</x:f>
        <x:v>Wednesday</x:v>
      </x:c>
      <x:c r="C13" s="15" t="n">
        <x:f>IF('Master Schedule'!$O11=TRUE,'Master Schedule'!B11,"")</x:f>
        <x:v>2</x:v>
      </x:c>
      <x:c r="D13" s="15" t="str">
        <x:f>IF('Master Schedule'!$O11=TRUE,'Master Schedule'!E11&amp;"","")</x:f>
        <x:v>6</x:v>
      </x:c>
      <x:c r="E13" s="15" t="str">
        <x:f>IF('Master Schedule'!$O11=TRUE,'Master Schedule'!F11&amp;"","")</x:f>
        <x:v>How do enzymes accelerate reactions and regulate cellular chemistry?</x:v>
      </x:c>
      <x:c r="F13" s="15" t="str">
        <x:f>IF('Master Schedule'!$O11=TRUE,'Master Schedule'!H11&amp;"","")</x:f>
        <x:v>Chapter 6: Protein Functions and Enzymes</x:v>
      </x:c>
      <x:c r="G13" s="15" t="str">
        <x:f>IF('Master Schedule'!$O11=TRUE,'Master Schedule'!G11&amp;"","")</x:f>
        <x:v>6.1-6.2</x:v>
      </x:c>
      <x:c r="H13" s="15" t="str">
        <x:f>IF('Master Schedule'!$O11=TRUE,IF('Master Schedule'!J11&lt;&gt;"",'Master Schedule'!J11&amp;"",'Master Schedule'!K11&amp;""),"")</x:f>
        <x:v>Adaptive Quiz Ch 5 due 11:59 PM</x:v>
      </x:c>
      <x:c r="I13" s="15" t="str">
        <x:f>IF('Master Schedule'!$O11=TRUE,'Master Schedule'!L11&amp;"","")</x:f>
      </x:c>
    </x:row>
    <x:row r="14">
      <x:c r="A14" s="15" t="str">
        <x:f>IF('Master Schedule'!$O12=TRUE,'Master Schedule'!A12,"")</x:f>
        <x:v>2025-07-24</x:v>
      </x:c>
      <x:c r="B14" s="15" t="str">
        <x:f>IF('Master Schedule'!$O12=TRUE,'Master Schedule'!C12&amp;"","")</x:f>
        <x:v>Thursday</x:v>
      </x:c>
      <x:c r="C14" s="15" t="n">
        <x:f>IF('Master Schedule'!$O12=TRUE,'Master Schedule'!B12,"")</x:f>
        <x:v>2</x:v>
      </x:c>
      <x:c r="D14" s="15" t="str">
        <x:f>IF('Master Schedule'!$O12=TRUE,'Master Schedule'!E12&amp;"","")</x:f>
        <x:v>6</x:v>
      </x:c>
      <x:c r="E14" s="15" t="str">
        <x:f>IF('Master Schedule'!$O12=TRUE,'Master Schedule'!F12&amp;"","")</x:f>
        <x:v>How do enzymes accelerate reactions and regulate cellular chemistry?</x:v>
      </x:c>
      <x:c r="F14" s="15" t="str">
        <x:f>IF('Master Schedule'!$O12=TRUE,'Master Schedule'!H12&amp;"","")</x:f>
        <x:v>Chapter 6 continued</x:v>
      </x:c>
      <x:c r="G14" s="15" t="str">
        <x:f>IF('Master Schedule'!$O12=TRUE,'Master Schedule'!G12&amp;"","")</x:f>
        <x:v>6.3</x:v>
      </x:c>
      <x:c r="H14" s="15" t="str">
        <x:f>IF('Master Schedule'!$O12=TRUE,IF('Master Schedule'!J12&lt;&gt;"",'Master Schedule'!J12&amp;"",'Master Schedule'!K12&amp;""),"")</x:f>
      </x:c>
      <x:c r="I14" s="15" t="str">
        <x:f>IF('Master Schedule'!$O12=TRUE,'Master Schedule'!L12&amp;"","")</x:f>
      </x:c>
    </x:row>
    <x:row r="15">
      <x:c r="A15" s="15" t="str">
        <x:f>IF('Master Schedule'!$O13=TRUE,'Master Schedule'!A13,"")</x:f>
        <x:v>2025-07-25</x:v>
      </x:c>
      <x:c r="B15" s="15" t="str">
        <x:f>IF('Master Schedule'!$O13=TRUE,'Master Schedule'!C13&amp;"","")</x:f>
        <x:v>Friday</x:v>
      </x:c>
      <x:c r="C15" s="15" t="n">
        <x:f>IF('Master Schedule'!$O13=TRUE,'Master Schedule'!B13,"")</x:f>
        <x:v>2</x:v>
      </x:c>
      <x:c r="D15" s="15" t="str">
        <x:f>IF('Master Schedule'!$O13=TRUE,'Master Schedule'!E13&amp;"","")</x:f>
        <x:v>6</x:v>
      </x:c>
      <x:c r="E15" s="15" t="str">
        <x:f>IF('Master Schedule'!$O13=TRUE,'Master Schedule'!F13&amp;"","")</x:f>
        <x:v>How do enzymes accelerate reactions and regulate cellular chemistry?</x:v>
      </x:c>
      <x:c r="F15" s="15" t="str">
        <x:f>IF('Master Schedule'!$O13=TRUE,'Master Schedule'!H13&amp;"","")</x:f>
        <x:v>Chapter 6 continued</x:v>
      </x:c>
      <x:c r="G15" s="15" t="str">
        <x:f>IF('Master Schedule'!$O13=TRUE,'Master Schedule'!G13&amp;"","")</x:f>
        <x:v>6.4-6.5</x:v>
      </x:c>
      <x:c r="H15" s="15" t="str">
        <x:f>IF('Master Schedule'!$O13=TRUE,IF('Master Schedule'!J13&lt;&gt;"",'Master Schedule'!J13&amp;"",'Master Schedule'!K13&amp;""),"")</x:f>
      </x:c>
      <x:c r="I15" s="15" t="str">
        <x:f>IF('Master Schedule'!$O13=TRUE,'Master Schedule'!L13&amp;"","")</x:f>
      </x:c>
    </x:row>
    <x:row r="16">
      <x:c r="A16" s="15" t="str">
        <x:f>IF('Master Schedule'!$O14=TRUE,'Master Schedule'!A14,"")</x:f>
        <x:v>2025-07-26</x:v>
      </x:c>
      <x:c r="B16" s="15" t="str">
        <x:f>IF('Master Schedule'!$O14=TRUE,'Master Schedule'!C14&amp;"","")</x:f>
        <x:v>Saturday</x:v>
      </x:c>
      <x:c r="C16" s="15" t="n">
        <x:f>IF('Master Schedule'!$O14=TRUE,'Master Schedule'!B14,"")</x:f>
        <x:v>2</x:v>
      </x:c>
      <x:c r="D16" s="15" t="str">
        <x:f>IF('Master Schedule'!$O14=TRUE,'Master Schedule'!E14&amp;"","")</x:f>
        <x:v>6</x:v>
      </x:c>
      <x:c r="E16" s="15" t="str">
        <x:f>IF('Master Schedule'!$O14=TRUE,'Master Schedule'!F14&amp;"","")</x:f>
        <x:v>How do enzymes accelerate reactions and regulate cellular chemistry?</x:v>
      </x:c>
      <x:c r="F16" s="15" t="str">
        <x:f>IF('Master Schedule'!$O14=TRUE,'Master Schedule'!H14&amp;"","")</x:f>
      </x:c>
      <x:c r="G16" s="15" t="str">
        <x:f>IF('Master Schedule'!$O14=TRUE,'Master Schedule'!G14&amp;"","")</x:f>
      </x:c>
      <x:c r="H16" s="15" t="str">
        <x:f>IF('Master Schedule'!$O14=TRUE,IF('Master Schedule'!J14&lt;&gt;"",'Master Schedule'!J14&amp;"",'Master Schedule'!K14&amp;""),"")</x:f>
        <x:v>Adaptive Quiz Ch 6 due 11:59 PM</x:v>
      </x:c>
      <x:c r="I16" s="15" t="str">
        <x:f>IF('Master Schedule'!$O14=TRUE,'Master Schedule'!L14&amp;"","")</x:f>
      </x:c>
    </x:row>
    <x:row r="17">
      <x:c r="A17" s="15" t="str">
        <x:f>IF('Master Schedule'!$O15=TRUE,'Master Schedule'!A15,"")</x:f>
        <x:v>2025-07-27</x:v>
      </x:c>
      <x:c r="B17" s="15" t="str">
        <x:f>IF('Master Schedule'!$O15=TRUE,'Master Schedule'!C15&amp;"","")</x:f>
        <x:v>Sunday</x:v>
      </x:c>
      <x:c r="C17" s="15" t="n">
        <x:f>IF('Master Schedule'!$O15=TRUE,'Master Schedule'!B15,"")</x:f>
        <x:v>2</x:v>
      </x:c>
      <x:c r="D17" s="15" t="str">
        <x:f>IF('Master Schedule'!$O15=TRUE,'Master Schedule'!E15&amp;"","")</x:f>
        <x:v>5-6</x:v>
      </x:c>
      <x:c r="E17" s="15" t="str">
        <x:f>IF('Master Schedule'!$O15=TRUE,'Master Schedule'!F15&amp;"","")</x:f>
        <x:v>How do these concepts connect across chapters 5-6?</x:v>
      </x:c>
      <x:c r="F17" s="15" t="str">
        <x:f>IF('Master Schedule'!$O15=TRUE,'Master Schedule'!H15&amp;"","")</x:f>
      </x:c>
      <x:c r="G17" s="15" t="str">
        <x:f>IF('Master Schedule'!$O15=TRUE,'Master Schedule'!G15&amp;"","")</x:f>
      </x:c>
      <x:c r="H17" s="15" t="str">
        <x:f>IF('Master Schedule'!$O15=TRUE,IF('Master Schedule'!J15&lt;&gt;"",'Master Schedule'!J15&amp;"",'Master Schedule'!K15&amp;""),"")</x:f>
        <x:v>Homework Chapters 5-6 due 11:59 PM</x:v>
      </x:c>
      <x:c r="I17" s="15" t="str">
        <x:f>IF('Master Schedule'!$O15=TRUE,'Master Schedule'!L15&amp;"","")</x:f>
      </x:c>
    </x:row>
    <x:row r="18">
      <x:c r="A18" s="15" t="str">
        <x:f>IF('Master Schedule'!$O16=TRUE,'Master Schedule'!A16,"")</x:f>
        <x:v>2025-07-28</x:v>
      </x:c>
      <x:c r="B18" s="15" t="str">
        <x:f>IF('Master Schedule'!$O16=TRUE,'Master Schedule'!C16&amp;"","")</x:f>
        <x:v>Monday</x:v>
      </x:c>
      <x:c r="C18" s="15" t="n">
        <x:f>IF('Master Schedule'!$O16=TRUE,'Master Schedule'!B16,"")</x:f>
        <x:v>3</x:v>
      </x:c>
      <x:c r="D18" s="15" t="str">
        <x:f>IF('Master Schedule'!$O16=TRUE,'Master Schedule'!E16&amp;"","")</x:f>
        <x:v>7</x:v>
      </x:c>
      <x:c r="E18" s="15" t="str">
        <x:f>IF('Master Schedule'!$O16=TRUE,'Master Schedule'!F16&amp;"","")</x:f>
        <x:v>How do carbohydrates store information, energy, and structure?</x:v>
      </x:c>
      <x:c r="F18" s="15" t="str">
        <x:f>IF('Master Schedule'!$O16=TRUE,'Master Schedule'!H16&amp;"","")</x:f>
        <x:v>Chapter 7: Carbohydrates</x:v>
      </x:c>
      <x:c r="G18" s="15" t="str">
        <x:f>IF('Master Schedule'!$O16=TRUE,'Master Schedule'!G16&amp;"","")</x:f>
        <x:v>7.1-7.2</x:v>
      </x:c>
      <x:c r="H18" s="15" t="str">
        <x:f>IF('Master Schedule'!$O16=TRUE,IF('Master Schedule'!J16&lt;&gt;"",'Master Schedule'!J16&amp;"",'Master Schedule'!K16&amp;""),"")</x:f>
      </x:c>
      <x:c r="I18" s="15" t="str">
        <x:f>IF('Master Schedule'!$O16=TRUE,'Master Schedule'!L16&amp;"","")</x:f>
      </x:c>
    </x:row>
    <x:row r="19">
      <x:c r="A19" s="15" t="str">
        <x:f>IF('Master Schedule'!$O17=TRUE,'Master Schedule'!A17,"")</x:f>
        <x:v>2025-07-29</x:v>
      </x:c>
      <x:c r="B19" s="15" t="str">
        <x:f>IF('Master Schedule'!$O17=TRUE,'Master Schedule'!C17&amp;"","")</x:f>
        <x:v>Tuesday</x:v>
      </x:c>
      <x:c r="C19" s="15" t="n">
        <x:f>IF('Master Schedule'!$O17=TRUE,'Master Schedule'!B17,"")</x:f>
        <x:v>3</x:v>
      </x:c>
      <x:c r="D19" s="15" t="str">
        <x:f>IF('Master Schedule'!$O17=TRUE,'Master Schedule'!E17&amp;"","")</x:f>
        <x:v>7</x:v>
      </x:c>
      <x:c r="E19" s="15" t="str">
        <x:f>IF('Master Schedule'!$O17=TRUE,'Master Schedule'!F17&amp;"","")</x:f>
        <x:v>How do carbohydrates store information, energy, and structure?</x:v>
      </x:c>
      <x:c r="F19" s="15" t="str">
        <x:f>IF('Master Schedule'!$O17=TRUE,'Master Schedule'!H17&amp;"","")</x:f>
        <x:v>Chapter 7: Carbohydrates continued</x:v>
      </x:c>
      <x:c r="G19" s="15" t="str">
        <x:f>IF('Master Schedule'!$O17=TRUE,'Master Schedule'!G17&amp;"","")</x:f>
        <x:v>7.3-7.4</x:v>
      </x:c>
      <x:c r="H19" s="15" t="str">
        <x:f>IF('Master Schedule'!$O17=TRUE,IF('Master Schedule'!J17&lt;&gt;"",'Master Schedule'!J17&amp;"",'Master Schedule'!K17&amp;""),"")</x:f>
      </x:c>
      <x:c r="I19" s="15" t="str">
        <x:f>IF('Master Schedule'!$O17=TRUE,'Master Schedule'!L17&amp;"","")</x:f>
      </x:c>
    </x:row>
    <x:row r="20">
      <x:c r="A20" s="15" t="str">
        <x:f>IF('Master Schedule'!$O18=TRUE,'Master Schedule'!A18,"")</x:f>
        <x:v>2025-07-30</x:v>
      </x:c>
      <x:c r="B20" s="15" t="str">
        <x:f>IF('Master Schedule'!$O18=TRUE,'Master Schedule'!C18&amp;"","")</x:f>
        <x:v>Wednesday</x:v>
      </x:c>
      <x:c r="C20" s="15" t="n">
        <x:f>IF('Master Schedule'!$O18=TRUE,'Master Schedule'!B18,"")</x:f>
        <x:v>3</x:v>
      </x:c>
      <x:c r="D20" s="15" t="str">
        <x:f>IF('Master Schedule'!$O18=TRUE,'Master Schedule'!E18&amp;"","")</x:f>
        <x:v>8</x:v>
      </x:c>
      <x:c r="E20" s="15" t="str">
        <x:f>IF('Master Schedule'!$O18=TRUE,'Master Schedule'!F18&amp;"","")</x:f>
        <x:v>How do lipids and membranes organize cellular boundaries and signaling?</x:v>
      </x:c>
      <x:c r="F20" s="15" t="str">
        <x:f>IF('Master Schedule'!$O18=TRUE,'Master Schedule'!H18&amp;"","")</x:f>
        <x:v>Chapter 8: Lipids, membranes, and membrane proteins</x:v>
      </x:c>
      <x:c r="G20" s="15" t="str">
        <x:f>IF('Master Schedule'!$O18=TRUE,'Master Schedule'!G18&amp;"","")</x:f>
        <x:v>8.1-8.3</x:v>
      </x:c>
      <x:c r="H20" s="15" t="str">
        <x:f>IF('Master Schedule'!$O18=TRUE,IF('Master Schedule'!J18&lt;&gt;"",'Master Schedule'!J18&amp;"",'Master Schedule'!K18&amp;""),"")</x:f>
        <x:v>Adaptive Quiz Ch 7 due 11:59 PM</x:v>
      </x:c>
      <x:c r="I20" s="15" t="str">
        <x:f>IF('Master Schedule'!$O18=TRUE,'Master Schedule'!L18&amp;"","")</x:f>
      </x:c>
    </x:row>
    <x:row r="21">
      <x:c r="A21" s="15" t="str">
        <x:f>IF('Master Schedule'!$O19=TRUE,'Master Schedule'!A19,"")</x:f>
        <x:v>2025-07-31</x:v>
      </x:c>
      <x:c r="B21" s="15" t="str">
        <x:f>IF('Master Schedule'!$O19=TRUE,'Master Schedule'!C19&amp;"","")</x:f>
        <x:v>Thursday</x:v>
      </x:c>
      <x:c r="C21" s="15" t="n">
        <x:f>IF('Master Schedule'!$O19=TRUE,'Master Schedule'!B19,"")</x:f>
        <x:v>3</x:v>
      </x:c>
      <x:c r="D21" s="15" t="str">
        <x:f>IF('Master Schedule'!$O19=TRUE,'Master Schedule'!E19&amp;"","")</x:f>
        <x:v>13</x:v>
      </x:c>
      <x:c r="E21" s="15" t="str">
        <x:f>IF('Master Schedule'!$O19=TRUE,'Master Schedule'!F19&amp;"","")</x:f>
        <x:v>How do cells organize metabolism and manage energy?</x:v>
      </x:c>
      <x:c r="F21" s="15" t="str">
        <x:f>IF('Master Schedule'!$O19=TRUE,'Master Schedule'!H19&amp;"","")</x:f>
        <x:v>Chapter 13: Introduction to intermediary metabolism</x:v>
      </x:c>
      <x:c r="G21" s="15" t="str">
        <x:f>IF('Master Schedule'!$O19=TRUE,'Master Schedule'!G19&amp;"","")</x:f>
        <x:v>13.1-13.2</x:v>
      </x:c>
      <x:c r="H21" s="15" t="str">
        <x:f>IF('Master Schedule'!$O19=TRUE,IF('Master Schedule'!J19&lt;&gt;"",'Master Schedule'!J19&amp;"",'Master Schedule'!K19&amp;""),"")</x:f>
        <x:v>Adaptive Quiz Ch 8 due 11:59 PM</x:v>
      </x:c>
      <x:c r="I21" s="15" t="str">
        <x:f>IF('Master Schedule'!$O19=TRUE,'Master Schedule'!L19&amp;"","")</x:f>
      </x:c>
    </x:row>
    <x:row r="22">
      <x:c r="A22" s="15" t="str">
        <x:f>IF('Master Schedule'!$O20=TRUE,'Master Schedule'!A20,"")</x:f>
        <x:v>2025-08-01</x:v>
      </x:c>
      <x:c r="B22" s="15" t="str">
        <x:f>IF('Master Schedule'!$O20=TRUE,'Master Schedule'!C20&amp;"","")</x:f>
        <x:v>Friday</x:v>
      </x:c>
      <x:c r="C22" s="15" t="n">
        <x:f>IF('Master Schedule'!$O20=TRUE,'Master Schedule'!B20,"")</x:f>
        <x:v>3</x:v>
      </x:c>
      <x:c r="D22" s="15" t="str">
        <x:f>IF('Master Schedule'!$O20=TRUE,'Master Schedule'!E20&amp;"","")</x:f>
        <x:v>13</x:v>
      </x:c>
      <x:c r="E22" s="15" t="str">
        <x:f>IF('Master Schedule'!$O20=TRUE,'Master Schedule'!F20&amp;"","")</x:f>
        <x:v>How do cells organize metabolism and manage energy?</x:v>
      </x:c>
      <x:c r="F22" s="15" t="str">
        <x:f>IF('Master Schedule'!$O20=TRUE,'Master Schedule'!H20&amp;"","")</x:f>
        <x:v>Chapter 13: Introduction to intermediary metabolism</x:v>
      </x:c>
      <x:c r="G22" s="15" t="str">
        <x:f>IF('Master Schedule'!$O20=TRUE,'Master Schedule'!G20&amp;"","")</x:f>
        <x:v>13.3-13.5</x:v>
      </x:c>
      <x:c r="H22" s="15" t="str">
        <x:f>IF('Master Schedule'!$O20=TRUE,IF('Master Schedule'!J20&lt;&gt;"",'Master Schedule'!J20&amp;"",'Master Schedule'!K20&amp;""),"")</x:f>
      </x:c>
      <x:c r="I22" s="15" t="str">
        <x:f>IF('Master Schedule'!$O20=TRUE,'Master Schedule'!L20&amp;"","")</x:f>
      </x:c>
    </x:row>
    <x:row r="23">
      <x:c r="A23" s="15" t="str">
        <x:f>IF('Master Schedule'!$O21=TRUE,'Master Schedule'!A21,"")</x:f>
        <x:v>2025-08-02</x:v>
      </x:c>
      <x:c r="B23" s="15" t="str">
        <x:f>IF('Master Schedule'!$O21=TRUE,'Master Schedule'!C21&amp;"","")</x:f>
        <x:v>Saturday</x:v>
      </x:c>
      <x:c r="C23" s="15" t="n">
        <x:f>IF('Master Schedule'!$O21=TRUE,'Master Schedule'!B21,"")</x:f>
        <x:v>3</x:v>
      </x:c>
      <x:c r="D23" s="15" t="str">
        <x:f>IF('Master Schedule'!$O21=TRUE,'Master Schedule'!E21&amp;"","")</x:f>
        <x:v>13</x:v>
      </x:c>
      <x:c r="E23" s="15" t="str">
        <x:f>IF('Master Schedule'!$O21=TRUE,'Master Schedule'!F21&amp;"","")</x:f>
        <x:v>How do cells organize metabolism and manage energy?</x:v>
      </x:c>
      <x:c r="F23" s="15" t="str">
        <x:f>IF('Master Schedule'!$O21=TRUE,'Master Schedule'!H21&amp;"","")</x:f>
      </x:c>
      <x:c r="G23" s="15" t="str">
        <x:f>IF('Master Schedule'!$O21=TRUE,'Master Schedule'!G21&amp;"","")</x:f>
      </x:c>
      <x:c r="H23" s="15" t="str">
        <x:f>IF('Master Schedule'!$O21=TRUE,IF('Master Schedule'!J21&lt;&gt;"",'Master Schedule'!J21&amp;"",'Master Schedule'!K21&amp;""),"")</x:f>
        <x:v>Adaptive Quiz Ch 13 due 11:59 PM</x:v>
      </x:c>
      <x:c r="I23" s="15" t="str">
        <x:f>IF('Master Schedule'!$O21=TRUE,'Master Schedule'!L21&amp;"","")</x:f>
      </x:c>
    </x:row>
    <x:row r="24">
      <x:c r="A24" s="15" t="str">
        <x:f>IF('Master Schedule'!$O22=TRUE,'Master Schedule'!A22,"")</x:f>
        <x:v>2025-08-03</x:v>
      </x:c>
      <x:c r="B24" s="15" t="str">
        <x:f>IF('Master Schedule'!$O22=TRUE,'Master Schedule'!C22&amp;"","")</x:f>
        <x:v>Sunday</x:v>
      </x:c>
      <x:c r="C24" s="15" t="n">
        <x:f>IF('Master Schedule'!$O22=TRUE,'Master Schedule'!B22,"")</x:f>
        <x:v>3</x:v>
      </x:c>
      <x:c r="D24" s="15" t="str">
        <x:f>IF('Master Schedule'!$O22=TRUE,'Master Schedule'!E22&amp;"","")</x:f>
        <x:v>7-8,13</x:v>
      </x:c>
      <x:c r="E24" s="15" t="str">
        <x:f>IF('Master Schedule'!$O22=TRUE,'Master Schedule'!F22&amp;"","")</x:f>
        <x:v>How do these concepts connect across chapters 7-8,13?</x:v>
      </x:c>
      <x:c r="F24" s="15" t="str">
        <x:f>IF('Master Schedule'!$O22=TRUE,'Master Schedule'!H22&amp;"","")</x:f>
      </x:c>
      <x:c r="G24" s="15" t="str">
        <x:f>IF('Master Schedule'!$O22=TRUE,'Master Schedule'!G22&amp;"","")</x:f>
      </x:c>
      <x:c r="H24" s="15" t="str">
        <x:f>IF('Master Schedule'!$O22=TRUE,IF('Master Schedule'!J22&lt;&gt;"",'Master Schedule'!J22&amp;"",'Master Schedule'!K22&amp;""),"")</x:f>
        <x:v>Homework Chapters 7-8, 13 due 11:59 PM</x:v>
      </x:c>
      <x:c r="I24" s="15" t="str">
        <x:f>IF('Master Schedule'!$O22=TRUE,'Master Schedule'!L22&amp;"","")</x:f>
      </x:c>
    </x:row>
    <x:row r="25">
      <x:c r="A25" s="15" t="str">
        <x:f>IF('Master Schedule'!$O23=TRUE,'Master Schedule'!A23,"")</x:f>
        <x:v>2025-08-04</x:v>
      </x:c>
      <x:c r="B25" s="15" t="str">
        <x:f>IF('Master Schedule'!$O23=TRUE,'Master Schedule'!C23&amp;"","")</x:f>
        <x:v>Monday</x:v>
      </x:c>
      <x:c r="C25" s="15" t="n">
        <x:f>IF('Master Schedule'!$O23=TRUE,'Master Schedule'!B23,"")</x:f>
        <x:v>4</x:v>
      </x:c>
      <x:c r="D25" s="15" t="str">
        <x:f>IF('Master Schedule'!$O23=TRUE,'Master Schedule'!E23&amp;"","")</x:f>
        <x:v>14</x:v>
      </x:c>
      <x:c r="E25" s="15" t="str">
        <x:f>IF('Master Schedule'!$O23=TRUE,'Master Schedule'!F23&amp;"","")</x:f>
        <x:v>How do cells extract energy from glucose?</x:v>
      </x:c>
      <x:c r="F25" s="15" t="str">
        <x:f>IF('Master Schedule'!$O23=TRUE,'Master Schedule'!H23&amp;"","")</x:f>
        <x:v>Chapter 14: Carbohydrate metabolism Part I</x:v>
      </x:c>
      <x:c r="G25" s="15" t="str">
        <x:f>IF('Master Schedule'!$O23=TRUE,'Master Schedule'!G23&amp;"","")</x:f>
        <x:v>14.1-14.2</x:v>
      </x:c>
      <x:c r="H25" s="15" t="str">
        <x:f>IF('Master Schedule'!$O23=TRUE,IF('Master Schedule'!J23&lt;&gt;"",'Master Schedule'!J23&amp;"",'Master Schedule'!K23&amp;""),"")</x:f>
      </x:c>
      <x:c r="I25" s="15" t="str">
        <x:f>IF('Master Schedule'!$O23=TRUE,'Master Schedule'!L23&amp;"","")</x:f>
      </x:c>
    </x:row>
    <x:row r="26">
      <x:c r="A26" s="15" t="str">
        <x:f>IF('Master Schedule'!$O24=TRUE,'Master Schedule'!A24,"")</x:f>
        <x:v>2025-08-05</x:v>
      </x:c>
      <x:c r="B26" s="15" t="str">
        <x:f>IF('Master Schedule'!$O24=TRUE,'Master Schedule'!C24&amp;"","")</x:f>
        <x:v>Tuesday</x:v>
      </x:c>
      <x:c r="C26" s="15" t="n">
        <x:f>IF('Master Schedule'!$O24=TRUE,'Master Schedule'!B24,"")</x:f>
        <x:v>4</x:v>
      </x:c>
      <x:c r="D26" s="15" t="str">
        <x:f>IF('Master Schedule'!$O24=TRUE,'Master Schedule'!E24&amp;"","")</x:f>
        <x:v>5-8,13</x:v>
      </x:c>
      <x:c r="E26" s="15" t="str">
        <x:f>IF('Master Schedule'!$O24=TRUE,'Master Schedule'!F24&amp;"","")</x:f>
        <x:v>How do these concepts connect across chapters 5-8,13?</x:v>
      </x:c>
      <x:c r="F26" s="15" t="str">
        <x:f>IF('Master Schedule'!$O24=TRUE,'Master Schedule'!H24&amp;"","")</x:f>
        <x:v>Exam 2</x:v>
      </x:c>
      <x:c r="G26" s="15" t="str">
        <x:f>IF('Master Schedule'!$O24=TRUE,'Master Schedule'!G24&amp;"","")</x:f>
      </x:c>
      <x:c r="H26" s="15" t="str">
        <x:f>IF('Master Schedule'!$O24=TRUE,IF('Master Schedule'!J24&lt;&gt;"",'Master Schedule'!J24&amp;"",'Master Schedule'!K24&amp;""),"")</x:f>
      </x:c>
      <x:c r="I26" s="15" t="str">
        <x:f>IF('Master Schedule'!$O24=TRUE,'Master Schedule'!L24&amp;"","")</x:f>
        <x:v>Exam 2 Chapters 5-8, 13 due 11:59 PM</x:v>
      </x:c>
    </x:row>
    <x:row r="27">
      <x:c r="A27" s="15" t="str">
        <x:f>IF('Master Schedule'!$O25=TRUE,'Master Schedule'!A25,"")</x:f>
        <x:v>2025-08-06</x:v>
      </x:c>
      <x:c r="B27" s="15" t="str">
        <x:f>IF('Master Schedule'!$O25=TRUE,'Master Schedule'!C25&amp;"","")</x:f>
        <x:v>Wednesday</x:v>
      </x:c>
      <x:c r="C27" s="15" t="n">
        <x:f>IF('Master Schedule'!$O25=TRUE,'Master Schedule'!B25,"")</x:f>
        <x:v>4</x:v>
      </x:c>
      <x:c r="D27" s="15" t="str">
        <x:f>IF('Master Schedule'!$O25=TRUE,'Master Schedule'!E25&amp;"","")</x:f>
        <x:v>14</x:v>
      </x:c>
      <x:c r="E27" s="15" t="str">
        <x:f>IF('Master Schedule'!$O25=TRUE,'Master Schedule'!F25&amp;"","")</x:f>
        <x:v>How do cells extract energy from glucose?</x:v>
      </x:c>
      <x:c r="F27" s="15" t="str">
        <x:f>IF('Master Schedule'!$O25=TRUE,'Master Schedule'!H25&amp;"","")</x:f>
        <x:v>Chapter 14: Carbohydrate metabolism Part I</x:v>
      </x:c>
      <x:c r="G27" s="15" t="str">
        <x:f>IF('Master Schedule'!$O25=TRUE,'Master Schedule'!G25&amp;"","")</x:f>
        <x:v>14.3-14.5</x:v>
      </x:c>
      <x:c r="H27" s="15" t="str">
        <x:f>IF('Master Schedule'!$O25=TRUE,IF('Master Schedule'!J25&lt;&gt;"",'Master Schedule'!J25&amp;"",'Master Schedule'!K25&amp;""),"")</x:f>
      </x:c>
      <x:c r="I27" s="15" t="str">
        <x:f>IF('Master Schedule'!$O25=TRUE,'Master Schedule'!L25&amp;"","")</x:f>
      </x:c>
    </x:row>
    <x:row r="28">
      <x:c r="A28" s="15" t="str">
        <x:f>IF('Master Schedule'!$O26=TRUE,'Master Schedule'!A26,"")</x:f>
        <x:v>2025-08-07</x:v>
      </x:c>
      <x:c r="B28" s="15" t="str">
        <x:f>IF('Master Schedule'!$O26=TRUE,'Master Schedule'!C26&amp;"","")</x:f>
        <x:v>Thursday</x:v>
      </x:c>
      <x:c r="C28" s="15" t="n">
        <x:f>IF('Master Schedule'!$O26=TRUE,'Master Schedule'!B26,"")</x:f>
        <x:v>4</x:v>
      </x:c>
      <x:c r="D28" s="15" t="str">
        <x:f>IF('Master Schedule'!$O26=TRUE,'Master Schedule'!E26&amp;"","")</x:f>
        <x:v>16</x:v>
      </x:c>
      <x:c r="E28" s="15" t="str">
        <x:f>IF('Master Schedule'!$O26=TRUE,'Master Schedule'!F26&amp;"","")</x:f>
        <x:v>How does the citric acid cycle connect carbon flow to energy production?</x:v>
      </x:c>
      <x:c r="F28" s="15" t="str">
        <x:f>IF('Master Schedule'!$O26=TRUE,'Master Schedule'!H26&amp;"","")</x:f>
        <x:v>Chapter 16: Pyruvate Oxidation and the Citric Acid Cycle</x:v>
      </x:c>
      <x:c r="G28" s="15" t="str">
        <x:f>IF('Master Schedule'!$O26=TRUE,'Master Schedule'!G26&amp;"","")</x:f>
        <x:v>16.1-16.4</x:v>
      </x:c>
      <x:c r="H28" s="15" t="str">
        <x:f>IF('Master Schedule'!$O26=TRUE,IF('Master Schedule'!J26&lt;&gt;"",'Master Schedule'!J26&amp;"",'Master Schedule'!K26&amp;""),"")</x:f>
        <x:v>Adaptive Quiz Ch 14 due 11:59 PM</x:v>
      </x:c>
      <x:c r="I28" s="15" t="str">
        <x:f>IF('Master Schedule'!$O26=TRUE,'Master Schedule'!L26&amp;"","")</x:f>
      </x:c>
    </x:row>
    <x:row r="29">
      <x:c r="A29" s="15" t="str">
        <x:f>IF('Master Schedule'!$O27=TRUE,'Master Schedule'!A27,"")</x:f>
        <x:v>2025-08-08</x:v>
      </x:c>
      <x:c r="B29" s="15" t="str">
        <x:f>IF('Master Schedule'!$O27=TRUE,'Master Schedule'!C27&amp;"","")</x:f>
        <x:v>Friday</x:v>
      </x:c>
      <x:c r="C29" s="15" t="n">
        <x:f>IF('Master Schedule'!$O27=TRUE,'Master Schedule'!B27,"")</x:f>
        <x:v>4</x:v>
      </x:c>
      <x:c r="D29" s="15" t="str">
        <x:f>IF('Master Schedule'!$O27=TRUE,'Master Schedule'!E27&amp;"","")</x:f>
        <x:v>19</x:v>
      </x:c>
      <x:c r="E29" s="15" t="str">
        <x:f>IF('Master Schedule'!$O27=TRUE,'Master Schedule'!F27&amp;"","")</x:f>
        <x:v>How do cells convert electron flow into ATP?</x:v>
      </x:c>
      <x:c r="F29" s="15" t="str">
        <x:f>IF('Master Schedule'!$O27=TRUE,'Master Schedule'!H27&amp;"","")</x:f>
        <x:v>Chapter 19: Electron Transfer and Oxidative Phosphorylation</x:v>
      </x:c>
      <x:c r="G29" s="15" t="str">
        <x:f>IF('Master Schedule'!$O27=TRUE,'Master Schedule'!G27&amp;"","")</x:f>
        <x:v>19.1-19.3</x:v>
      </x:c>
      <x:c r="H29" s="15" t="str">
        <x:f>IF('Master Schedule'!$O27=TRUE,IF('Master Schedule'!J27&lt;&gt;"",'Master Schedule'!J27&amp;"",'Master Schedule'!K27&amp;""),"")</x:f>
        <x:v>Adaptive Quiz Ch 16 due 11:59 PM</x:v>
      </x:c>
      <x:c r="I29" s="15" t="str">
        <x:f>IF('Master Schedule'!$O27=TRUE,'Master Schedule'!L27&amp;"","")</x:f>
      </x:c>
    </x:row>
    <x:row r="30">
      <x:c r="A30" s="15" t="str">
        <x:f>IF('Master Schedule'!$O28=TRUE,'Master Schedule'!A28,"")</x:f>
        <x:v>2025-08-09</x:v>
      </x:c>
      <x:c r="B30" s="15" t="str">
        <x:f>IF('Master Schedule'!$O28=TRUE,'Master Schedule'!C28&amp;"","")</x:f>
        <x:v>Saturday</x:v>
      </x:c>
      <x:c r="C30" s="15" t="n">
        <x:f>IF('Master Schedule'!$O28=TRUE,'Master Schedule'!B28,"")</x:f>
        <x:v>4</x:v>
      </x:c>
      <x:c r="D30" s="15" t="str">
        <x:f>IF('Master Schedule'!$O28=TRUE,'Master Schedule'!E28&amp;"","")</x:f>
        <x:v>19</x:v>
      </x:c>
      <x:c r="E30" s="15" t="str">
        <x:f>IF('Master Schedule'!$O28=TRUE,'Master Schedule'!F28&amp;"","")</x:f>
        <x:v>How do cells convert electron flow into ATP?</x:v>
      </x:c>
      <x:c r="F30" s="15" t="str">
        <x:f>IF('Master Schedule'!$O28=TRUE,'Master Schedule'!H28&amp;"","")</x:f>
      </x:c>
      <x:c r="G30" s="15" t="str">
        <x:f>IF('Master Schedule'!$O28=TRUE,'Master Schedule'!G28&amp;"","")</x:f>
      </x:c>
      <x:c r="H30" s="15" t="str">
        <x:f>IF('Master Schedule'!$O28=TRUE,IF('Master Schedule'!J28&lt;&gt;"",'Master Schedule'!J28&amp;"",'Master Schedule'!K28&amp;""),"")</x:f>
        <x:v>Adaptive Quiz Ch 19 due 11:59 PM</x:v>
      </x:c>
      <x:c r="I30" s="15" t="str">
        <x:f>IF('Master Schedule'!$O28=TRUE,'Master Schedule'!L28&amp;"","")</x:f>
      </x:c>
    </x:row>
    <x:row r="31">
      <x:c r="A31" s="15" t="str">
        <x:f>IF('Master Schedule'!$O29=TRUE,'Master Schedule'!A29,"")</x:f>
        <x:v>2025-08-10</x:v>
      </x:c>
      <x:c r="B31" s="15" t="str">
        <x:f>IF('Master Schedule'!$O29=TRUE,'Master Schedule'!C29&amp;"","")</x:f>
        <x:v>Sunday</x:v>
      </x:c>
      <x:c r="C31" s="15" t="n">
        <x:f>IF('Master Schedule'!$O29=TRUE,'Master Schedule'!B29,"")</x:f>
        <x:v>4</x:v>
      </x:c>
      <x:c r="D31" s="15" t="str">
        <x:f>IF('Master Schedule'!$O29=TRUE,'Master Schedule'!E29&amp;"","")</x:f>
        <x:v>14,16,19</x:v>
      </x:c>
      <x:c r="E31" s="15" t="str">
        <x:f>IF('Master Schedule'!$O29=TRUE,'Master Schedule'!F29&amp;"","")</x:f>
        <x:v>How do these concepts connect across chapters 14,16,19?</x:v>
      </x:c>
      <x:c r="F31" s="15" t="str">
        <x:f>IF('Master Schedule'!$O29=TRUE,'Master Schedule'!H29&amp;"","")</x:f>
      </x:c>
      <x:c r="G31" s="15" t="str">
        <x:f>IF('Master Schedule'!$O29=TRUE,'Master Schedule'!G29&amp;"","")</x:f>
      </x:c>
      <x:c r="H31" s="15" t="str">
        <x:f>IF('Master Schedule'!$O29=TRUE,IF('Master Schedule'!J29&lt;&gt;"",'Master Schedule'!J29&amp;"",'Master Schedule'!K29&amp;""),"")</x:f>
        <x:v>Homework Chapters 14, 16, 19 due 11:59 PM</x:v>
      </x:c>
      <x:c r="I31" s="15" t="str">
        <x:f>IF('Master Schedule'!$O29=TRUE,'Master Schedule'!L29&amp;"","")</x:f>
      </x:c>
    </x:row>
    <x:row r="32">
      <x:c r="A32" s="15" t="str">
        <x:f>IF('Master Schedule'!$O30=TRUE,'Master Schedule'!A30,"")</x:f>
        <x:v>2025-08-11</x:v>
      </x:c>
      <x:c r="B32" s="15" t="str">
        <x:f>IF('Master Schedule'!$O30=TRUE,'Master Schedule'!C30&amp;"","")</x:f>
        <x:v>Monday</x:v>
      </x:c>
      <x:c r="C32" s="15" t="n">
        <x:f>IF('Master Schedule'!$O30=TRUE,'Master Schedule'!B30,"")</x:f>
        <x:v>5</x:v>
      </x:c>
      <x:c r="D32" s="15" t="str">
        <x:f>IF('Master Schedule'!$O30=TRUE,'Master Schedule'!E30&amp;"","")</x:f>
        <x:v>9</x:v>
      </x:c>
      <x:c r="E32" s="15" t="str">
        <x:f>IF('Master Schedule'!$O30=TRUE,'Master Schedule'!F30&amp;"","")</x:f>
        <x:v>How is genetic information encoded in nucleic acid structure?</x:v>
      </x:c>
      <x:c r="F32" s="15" t="str">
        <x:f>IF('Master Schedule'!$O30=TRUE,'Master Schedule'!H30&amp;"","")</x:f>
        <x:v>Chapter 9: Nucleotides</x:v>
      </x:c>
      <x:c r="G32" s="15" t="str">
        <x:f>IF('Master Schedule'!$O30=TRUE,'Master Schedule'!G30&amp;"","")</x:f>
        <x:v>9.1-9.4</x:v>
      </x:c>
      <x:c r="H32" s="15" t="str">
        <x:f>IF('Master Schedule'!$O30=TRUE,IF('Master Schedule'!J30&lt;&gt;"",'Master Schedule'!J30&amp;"",'Master Schedule'!K30&amp;""),"")</x:f>
      </x:c>
      <x:c r="I32" s="15" t="str">
        <x:f>IF('Master Schedule'!$O30=TRUE,'Master Schedule'!L30&amp;"","")</x:f>
      </x:c>
    </x:row>
    <x:row r="33">
      <x:c r="A33" s="15" t="str">
        <x:f>IF('Master Schedule'!$O31=TRUE,'Master Schedule'!A31,"")</x:f>
        <x:v>2025-08-12</x:v>
      </x:c>
      <x:c r="B33" s="15" t="str">
        <x:f>IF('Master Schedule'!$O31=TRUE,'Master Schedule'!C31&amp;"","")</x:f>
        <x:v>Tuesday</x:v>
      </x:c>
      <x:c r="C33" s="15" t="n">
        <x:f>IF('Master Schedule'!$O31=TRUE,'Master Schedule'!B31,"")</x:f>
        <x:v>5</x:v>
      </x:c>
      <x:c r="D33" s="15" t="str">
        <x:f>IF('Master Schedule'!$O31=TRUE,'Master Schedule'!E31&amp;"","")</x:f>
        <x:v>10</x:v>
      </x:c>
      <x:c r="E33" s="15" t="str">
        <x:f>IF('Master Schedule'!$O31=TRUE,'Master Schedule'!F31&amp;"","")</x:f>
        <x:v>How is genetic information copied and transcribed?</x:v>
      </x:c>
      <x:c r="F33" s="15" t="str">
        <x:f>IF('Master Schedule'!$O31=TRUE,'Master Schedule'!H31&amp;"","")</x:f>
        <x:v>Chapter 10: Biological Information Part I</x:v>
      </x:c>
      <x:c r="G33" s="15" t="str">
        <x:f>IF('Master Schedule'!$O31=TRUE,'Master Schedule'!G31&amp;"","")</x:f>
        <x:v>10.1-10.2</x:v>
      </x:c>
      <x:c r="H33" s="15" t="str">
        <x:f>IF('Master Schedule'!$O31=TRUE,IF('Master Schedule'!J31&lt;&gt;"",'Master Schedule'!J31&amp;"",'Master Schedule'!K31&amp;""),"")</x:f>
        <x:v>Adaptive Quiz Ch 9 due 11:59 PM</x:v>
      </x:c>
      <x:c r="I33" s="15" t="str">
        <x:f>IF('Master Schedule'!$O31=TRUE,'Master Schedule'!L31&amp;"","")</x:f>
      </x:c>
    </x:row>
    <x:row r="34">
      <x:c r="A34" s="15" t="str">
        <x:f>IF('Master Schedule'!$O32=TRUE,'Master Schedule'!A32,"")</x:f>
        <x:v>2025-08-13</x:v>
      </x:c>
      <x:c r="B34" s="15" t="str">
        <x:f>IF('Master Schedule'!$O32=TRUE,'Master Schedule'!C32&amp;"","")</x:f>
        <x:v>Wednesday</x:v>
      </x:c>
      <x:c r="C34" s="15" t="n">
        <x:f>IF('Master Schedule'!$O32=TRUE,'Master Schedule'!B32,"")</x:f>
        <x:v>5</x:v>
      </x:c>
      <x:c r="D34" s="15" t="str">
        <x:f>IF('Master Schedule'!$O32=TRUE,'Master Schedule'!E32&amp;"","")</x:f>
        <x:v>10</x:v>
      </x:c>
      <x:c r="E34" s="15" t="str">
        <x:f>IF('Master Schedule'!$O32=TRUE,'Master Schedule'!F32&amp;"","")</x:f>
        <x:v>How is genetic information copied and transcribed?</x:v>
      </x:c>
      <x:c r="F34" s="15" t="str">
        <x:f>IF('Master Schedule'!$O32=TRUE,'Master Schedule'!H32&amp;"","")</x:f>
        <x:v>Chapter 10: Biological Information Part I</x:v>
      </x:c>
      <x:c r="G34" s="15" t="str">
        <x:f>IF('Master Schedule'!$O32=TRUE,'Master Schedule'!G32&amp;"","")</x:f>
        <x:v>10.3-10.4</x:v>
      </x:c>
      <x:c r="H34" s="15" t="str">
        <x:f>IF('Master Schedule'!$O32=TRUE,IF('Master Schedule'!J32&lt;&gt;"",'Master Schedule'!J32&amp;"",'Master Schedule'!K32&amp;""),"")</x:f>
      </x:c>
      <x:c r="I34" s="15" t="str">
        <x:f>IF('Master Schedule'!$O32=TRUE,'Master Schedule'!L32&amp;"","")</x:f>
      </x:c>
    </x:row>
    <x:row r="35">
      <x:c r="A35" s="15" t="str">
        <x:f>IF('Master Schedule'!$O33=TRUE,'Master Schedule'!A33,"")</x:f>
        <x:v>2025-08-14</x:v>
      </x:c>
      <x:c r="B35" s="15" t="str">
        <x:f>IF('Master Schedule'!$O33=TRUE,'Master Schedule'!C33&amp;"","")</x:f>
        <x:v>Thursday</x:v>
      </x:c>
      <x:c r="C35" s="15" t="n">
        <x:f>IF('Master Schedule'!$O33=TRUE,'Master Schedule'!B33,"")</x:f>
        <x:v>5</x:v>
      </x:c>
      <x:c r="D35" s="15" t="str">
        <x:f>IF('Master Schedule'!$O33=TRUE,'Master Schedule'!E33&amp;"","")</x:f>
        <x:v>11</x:v>
      </x:c>
      <x:c r="E35" s="15" t="str">
        <x:f>IF('Master Schedule'!$O33=TRUE,'Master Schedule'!F33&amp;"","")</x:f>
        <x:v>How is genetic information translated into protein?</x:v>
      </x:c>
      <x:c r="F35" s="15" t="str">
        <x:f>IF('Master Schedule'!$O33=TRUE,'Master Schedule'!H33&amp;"","")</x:f>
        <x:v>Chapter 11: Biological Information Part II</x:v>
      </x:c>
      <x:c r="G35" s="15" t="str">
        <x:f>IF('Master Schedule'!$O33=TRUE,'Master Schedule'!G33&amp;"","")</x:f>
        <x:v>11.1-11.4</x:v>
      </x:c>
      <x:c r="H35" s="15" t="str">
        <x:f>IF('Master Schedule'!$O33=TRUE,IF('Master Schedule'!J33&lt;&gt;"",'Master Schedule'!J33&amp;"",'Master Schedule'!K33&amp;""),"")</x:f>
        <x:v>Adaptive Quiz Ch 10 due 11:59 PM</x:v>
      </x:c>
      <x:c r="I35" s="15" t="str">
        <x:f>IF('Master Schedule'!$O33=TRUE,'Master Schedule'!L33&amp;"","")</x:f>
      </x:c>
    </x:row>
    <x:row r="36">
      <x:c r="A36" s="15" t="str">
        <x:f>IF('Master Schedule'!$O34=TRUE,'Master Schedule'!A34,"")</x:f>
        <x:v>2025-08-15</x:v>
      </x:c>
      <x:c r="B36" s="15" t="str">
        <x:f>IF('Master Schedule'!$O34=TRUE,'Master Schedule'!C34&amp;"","")</x:f>
        <x:v>Friday</x:v>
      </x:c>
      <x:c r="C36" s="15" t="n">
        <x:f>IF('Master Schedule'!$O34=TRUE,'Master Schedule'!B34,"")</x:f>
        <x:v>5</x:v>
      </x:c>
      <x:c r="D36" s="15" t="str">
        <x:f>IF('Master Schedule'!$O34=TRUE,'Master Schedule'!E34&amp;"","")</x:f>
        <x:v>Cumulative</x:v>
      </x:c>
      <x:c r="E36" s="15" t="str">
        <x:f>IF('Master Schedule'!$O34=TRUE,'Master Schedule'!F34&amp;"","")</x:f>
        <x:v>How do these concepts connect across chapters Cumulative?</x:v>
      </x:c>
      <x:c r="F36" s="15" t="str">
        <x:f>IF('Master Schedule'!$O34=TRUE,'Master Schedule'!H34&amp;"","")</x:f>
        <x:v>Final Exam</x:v>
      </x:c>
      <x:c r="G36" s="15" t="str">
        <x:f>IF('Master Schedule'!$O34=TRUE,'Master Schedule'!G34&amp;"","")</x:f>
      </x:c>
      <x:c r="H36" s="15" t="str">
        <x:f>IF('Master Schedule'!$O34=TRUE,IF('Master Schedule'!J34&lt;&gt;"",'Master Schedule'!J34&amp;"",'Master Schedule'!K34&amp;""),"")</x:f>
        <x:v>Homework Chapters 9-11 due 11:59 PM</x:v>
      </x:c>
      <x:c r="I36" s="15" t="str">
        <x:f>IF('Master Schedule'!$O34=TRUE,'Master Schedule'!L34&amp;"","")</x:f>
        <x:v>Final Exam cumulative</x:v>
      </x:c>
    </x:row>
    <x:row r="37">
      <x:c r="A37" s="15" t="n"/>
      <x:c r="B37" s="15" t="n"/>
      <x:c r="C37" s="15" t="n"/>
      <x:c r="D37" s="15" t="n"/>
      <x:c r="E37" s="15" t="n"/>
      <x:c r="F37" s="15" t="n"/>
      <x:c r="G37" s="15" t="n"/>
      <x:c r="H37" s="15" t="n"/>
      <x:c r="I37" s="15" t="n"/>
    </x:row>
    <x:row r="38">
      <x:c r="A38" s="15" t="n"/>
      <x:c r="B38" s="15" t="n"/>
      <x:c r="C38" s="15" t="n"/>
      <x:c r="D38" s="15" t="n"/>
      <x:c r="E38" s="15" t="n"/>
      <x:c r="F38" s="15" t="n"/>
      <x:c r="G38" s="15" t="n"/>
      <x:c r="H38" s="15" t="n"/>
      <x:c r="I38" s="15" t="n"/>
    </x:row>
    <x:row r="39">
      <x:c r="A39" s="15" t="n"/>
      <x:c r="B39" s="15" t="n"/>
      <x:c r="C39" s="15" t="n"/>
      <x:c r="D39" s="15" t="n"/>
      <x:c r="E39" s="15" t="n"/>
      <x:c r="F39" s="15" t="n"/>
      <x:c r="G39" s="15" t="n"/>
      <x:c r="H39" s="15" t="n"/>
      <x:c r="I39" s="15" t="n"/>
    </x:row>
    <x:row r="40">
      <x:c r="A40" s="15" t="n"/>
      <x:c r="B40" s="15" t="n"/>
      <x:c r="C40" s="15" t="n"/>
      <x:c r="D40" s="15" t="n"/>
      <x:c r="E40" s="15" t="n"/>
      <x:c r="F40" s="15" t="n"/>
      <x:c r="G40" s="15" t="n"/>
      <x:c r="H40" s="15" t="n"/>
      <x:c r="I40" s="15" t="n"/>
    </x:row>
    <x:row r="41">
      <x:c r="A41" s="15" t="n"/>
      <x:c r="B41" s="15" t="n"/>
      <x:c r="C41" s="15" t="n"/>
      <x:c r="D41" s="15" t="n"/>
      <x:c r="E41" s="15" t="n"/>
      <x:c r="F41" s="15" t="n"/>
      <x:c r="G41" s="15" t="n"/>
      <x:c r="H41" s="15" t="n"/>
      <x:c r="I41" s="15" t="n"/>
    </x:row>
    <x:row r="42">
      <x:c r="A42" s="15" t="n"/>
      <x:c r="B42" s="15" t="n"/>
      <x:c r="C42" s="15" t="n"/>
      <x:c r="D42" s="15" t="n"/>
      <x:c r="E42" s="15" t="n"/>
      <x:c r="F42" s="15" t="n"/>
      <x:c r="G42" s="15" t="n"/>
      <x:c r="H42" s="15" t="n"/>
      <x:c r="I42" s="15" t="n"/>
    </x:row>
    <x:row r="43">
      <x:c r="A43" s="15" t="n"/>
      <x:c r="B43" s="15" t="n"/>
      <x:c r="C43" s="15" t="n"/>
      <x:c r="D43" s="15" t="n"/>
      <x:c r="E43" s="15" t="n"/>
      <x:c r="F43" s="15" t="n"/>
      <x:c r="G43" s="15" t="n"/>
      <x:c r="H43" s="15" t="n"/>
      <x:c r="I43" s="15" t="n"/>
    </x:row>
    <x:row r="44">
      <x:c r="A44" s="15" t="n"/>
      <x:c r="B44" s="15" t="n"/>
      <x:c r="C44" s="15" t="n"/>
      <x:c r="D44" s="15" t="n"/>
      <x:c r="E44" s="15" t="n"/>
      <x:c r="F44" s="15" t="n"/>
      <x:c r="G44" s="15" t="n"/>
      <x:c r="H44" s="15" t="n"/>
      <x:c r="I44" s="15" t="n"/>
    </x:row>
    <x:row r="45">
      <x:c r="A45" s="15" t="n"/>
      <x:c r="B45" s="15" t="n"/>
      <x:c r="C45" s="15" t="n"/>
      <x:c r="D45" s="15" t="n"/>
      <x:c r="E45" s="15" t="n"/>
      <x:c r="F45" s="15" t="n"/>
      <x:c r="G45" s="15" t="n"/>
      <x:c r="H45" s="15" t="n"/>
      <x:c r="I45" s="15" t="n"/>
    </x:row>
    <x:row r="46">
      <x:c r="A46" s="15" t="n"/>
      <x:c r="B46" s="15" t="n"/>
      <x:c r="C46" s="15" t="n"/>
      <x:c r="D46" s="15" t="n"/>
      <x:c r="E46" s="15" t="n"/>
      <x:c r="F46" s="15" t="n"/>
      <x:c r="G46" s="15" t="n"/>
      <x:c r="H46" s="15" t="n"/>
      <x:c r="I46" s="15" t="n"/>
    </x:row>
    <x:row r="47">
      <x:c r="A47" s="15" t="n"/>
      <x:c r="B47" s="15" t="n"/>
      <x:c r="C47" s="15" t="n"/>
      <x:c r="D47" s="15" t="n"/>
      <x:c r="E47" s="15" t="n"/>
      <x:c r="F47" s="15" t="n"/>
      <x:c r="G47" s="15" t="n"/>
      <x:c r="H47" s="15" t="n"/>
      <x:c r="I47" s="15" t="n"/>
    </x:row>
    <x:row r="48">
      <x:c r="A48" s="15" t="n"/>
      <x:c r="B48" s="15" t="n"/>
      <x:c r="C48" s="15" t="n"/>
      <x:c r="D48" s="15" t="n"/>
      <x:c r="E48" s="15" t="n"/>
      <x:c r="F48" s="15" t="n"/>
      <x:c r="G48" s="15" t="n"/>
      <x:c r="H48" s="15" t="n"/>
      <x:c r="I48" s="15" t="n"/>
    </x:row>
    <x:row r="49">
      <x:c r="A49" s="15" t="n"/>
      <x:c r="B49" s="15" t="n"/>
      <x:c r="C49" s="15" t="n"/>
      <x:c r="D49" s="15" t="n"/>
      <x:c r="E49" s="15" t="n"/>
      <x:c r="F49" s="15" t="n"/>
      <x:c r="G49" s="15" t="n"/>
      <x:c r="H49" s="15" t="n"/>
      <x:c r="I49" s="15" t="n"/>
    </x:row>
    <x:row r="50">
      <x:c r="A50" s="15" t="n"/>
      <x:c r="B50" s="15" t="n"/>
      <x:c r="C50" s="15" t="n"/>
      <x:c r="D50" s="15" t="n"/>
      <x:c r="E50" s="15" t="n"/>
      <x:c r="F50" s="15" t="n"/>
      <x:c r="G50" s="15" t="n"/>
      <x:c r="H50" s="15" t="n"/>
      <x:c r="I50" s="15" t="n"/>
    </x:row>
    <x:row r="51">
      <x:c r="A51" s="15" t="n"/>
      <x:c r="B51" s="15" t="n"/>
      <x:c r="C51" s="15" t="n"/>
      <x:c r="D51" s="15" t="n"/>
      <x:c r="E51" s="15" t="n"/>
      <x:c r="F51" s="15" t="n"/>
      <x:c r="G51" s="15" t="n"/>
      <x:c r="H51" s="15" t="n"/>
      <x:c r="I51" s="15" t="n"/>
    </x:row>
    <x:row r="52">
      <x:c r="A52" s="15" t="n"/>
      <x:c r="B52" s="15" t="n"/>
      <x:c r="C52" s="15" t="n"/>
      <x:c r="D52" s="15" t="n"/>
      <x:c r="E52" s="15" t="n"/>
      <x:c r="F52" s="15" t="n"/>
      <x:c r="G52" s="15" t="n"/>
      <x:c r="H52" s="15" t="n"/>
      <x:c r="I52" s="15" t="n"/>
    </x:row>
    <x:row r="53">
      <x:c r="A53" s="15" t="n"/>
      <x:c r="B53" s="15" t="n"/>
      <x:c r="C53" s="15" t="n"/>
      <x:c r="D53" s="15" t="n"/>
      <x:c r="E53" s="15" t="n"/>
      <x:c r="F53" s="15" t="n"/>
      <x:c r="G53" s="15" t="n"/>
      <x:c r="H53" s="15" t="n"/>
      <x:c r="I53" s="15" t="n"/>
    </x:row>
    <x:row r="54">
      <x:c r="A54" s="15" t="n"/>
      <x:c r="B54" s="15" t="n"/>
      <x:c r="C54" s="15" t="n"/>
      <x:c r="D54" s="15" t="n"/>
      <x:c r="E54" s="15" t="n"/>
      <x:c r="F54" s="15" t="n"/>
      <x:c r="G54" s="15" t="n"/>
      <x:c r="H54" s="15" t="n"/>
      <x:c r="I54" s="15" t="n"/>
    </x:row>
    <x:row r="55">
      <x:c r="A55" s="15" t="n"/>
      <x:c r="B55" s="15" t="n"/>
      <x:c r="C55" s="15" t="n"/>
      <x:c r="D55" s="15" t="n"/>
      <x:c r="E55" s="15" t="n"/>
      <x:c r="F55" s="15" t="n"/>
      <x:c r="G55" s="15" t="n"/>
      <x:c r="H55" s="15" t="n"/>
      <x:c r="I55" s="15" t="n"/>
    </x:row>
    <x:row r="56">
      <x:c r="A56" s="15" t="n"/>
      <x:c r="B56" s="15" t="n"/>
      <x:c r="C56" s="15" t="n"/>
      <x:c r="D56" s="15" t="n"/>
      <x:c r="E56" s="15" t="n"/>
      <x:c r="F56" s="15" t="n"/>
      <x:c r="G56" s="15" t="n"/>
      <x:c r="H56" s="15" t="n"/>
      <x:c r="I56" s="15" t="n"/>
    </x:row>
    <x:row r="57">
      <x:c r="A57" s="15" t="n"/>
      <x:c r="B57" s="15" t="n"/>
      <x:c r="C57" s="15" t="n"/>
      <x:c r="D57" s="15" t="n"/>
      <x:c r="E57" s="15" t="n"/>
      <x:c r="F57" s="15" t="n"/>
      <x:c r="G57" s="15" t="n"/>
      <x:c r="H57" s="15" t="n"/>
      <x:c r="I57" s="15" t="n"/>
    </x:row>
    <x:row r="58">
      <x:c r="A58" s="15" t="n"/>
      <x:c r="B58" s="15" t="n"/>
      <x:c r="C58" s="15" t="n"/>
      <x:c r="D58" s="15" t="n"/>
      <x:c r="E58" s="15" t="n"/>
      <x:c r="F58" s="15" t="n"/>
      <x:c r="G58" s="15" t="n"/>
      <x:c r="H58" s="15" t="n"/>
      <x:c r="I58" s="15" t="n"/>
    </x:row>
    <x:row r="59">
      <x:c r="A59" s="15" t="n"/>
      <x:c r="B59" s="15" t="n"/>
      <x:c r="C59" s="15" t="n"/>
      <x:c r="D59" s="15" t="n"/>
      <x:c r="E59" s="15" t="n"/>
      <x:c r="F59" s="15" t="n"/>
      <x:c r="G59" s="15" t="n"/>
      <x:c r="H59" s="15" t="n"/>
      <x:c r="I59" s="15" t="n"/>
    </x:row>
    <x:row r="60">
      <x:c r="A60" s="15" t="n"/>
      <x:c r="B60" s="15" t="n"/>
      <x:c r="C60" s="15" t="n"/>
      <x:c r="D60" s="15" t="n"/>
      <x:c r="E60" s="15" t="n"/>
      <x:c r="F60" s="15" t="n"/>
      <x:c r="G60" s="15" t="n"/>
      <x:c r="H60" s="15" t="n"/>
      <x:c r="I60" s="15" t="n"/>
    </x:row>
    <x:row r="61">
      <x:c r="A61" s="15" t="n"/>
      <x:c r="B61" s="15" t="n"/>
      <x:c r="C61" s="15" t="n"/>
      <x:c r="D61" s="15" t="n"/>
      <x:c r="E61" s="15" t="n"/>
      <x:c r="F61" s="15" t="n"/>
      <x:c r="G61" s="15" t="n"/>
      <x:c r="H61" s="15" t="n"/>
      <x:c r="I61" s="15" t="n"/>
    </x:row>
    <x:row r="62">
      <x:c r="A62" s="15" t="n"/>
      <x:c r="B62" s="15" t="n"/>
      <x:c r="C62" s="15" t="n"/>
      <x:c r="D62" s="15" t="n"/>
      <x:c r="E62" s="15" t="n"/>
      <x:c r="F62" s="15" t="n"/>
      <x:c r="G62" s="15" t="n"/>
      <x:c r="H62" s="15" t="n"/>
      <x:c r="I62" s="15" t="n"/>
    </x:row>
    <x:row r="63">
      <x:c r="A63" s="15" t="n"/>
      <x:c r="B63" s="15" t="n"/>
      <x:c r="C63" s="15" t="n"/>
      <x:c r="D63" s="15" t="n"/>
      <x:c r="E63" s="15" t="n"/>
      <x:c r="F63" s="15" t="n"/>
      <x:c r="G63" s="15" t="n"/>
      <x:c r="H63" s="15" t="n"/>
      <x:c r="I63" s="15" t="n"/>
    </x:row>
    <x:row r="64">
      <x:c r="A64" s="15" t="n"/>
      <x:c r="B64" s="15" t="n"/>
      <x:c r="C64" s="15" t="n"/>
      <x:c r="D64" s="15" t="n"/>
      <x:c r="E64" s="15" t="n"/>
      <x:c r="F64" s="15" t="n"/>
      <x:c r="G64" s="15" t="n"/>
      <x:c r="H64" s="15" t="n"/>
      <x:c r="I64" s="15" t="n"/>
    </x:row>
    <x:row r="65">
      <x:c r="A65" s="15" t="n"/>
      <x:c r="B65" s="15" t="n"/>
      <x:c r="C65" s="15" t="n"/>
      <x:c r="D65" s="15" t="n"/>
      <x:c r="E65" s="15" t="n"/>
      <x:c r="F65" s="15" t="n"/>
      <x:c r="G65" s="15" t="n"/>
      <x:c r="H65" s="15" t="n"/>
      <x:c r="I65" s="15" t="n"/>
    </x:row>
    <x:row r="66">
      <x:c r="A66" s="15" t="n"/>
      <x:c r="B66" s="15" t="n"/>
      <x:c r="C66" s="15" t="n"/>
      <x:c r="D66" s="15" t="n"/>
      <x:c r="E66" s="15" t="n"/>
      <x:c r="F66" s="15" t="n"/>
      <x:c r="G66" s="15" t="n"/>
      <x:c r="H66" s="15" t="n"/>
      <x:c r="I66" s="15" t="n"/>
    </x:row>
    <x:row r="67">
      <x:c r="A67" s="15" t="n"/>
      <x:c r="B67" s="15" t="n"/>
      <x:c r="C67" s="15" t="n"/>
      <x:c r="D67" s="15" t="n"/>
      <x:c r="E67" s="15" t="n"/>
      <x:c r="F67" s="15" t="n"/>
      <x:c r="G67" s="15" t="n"/>
      <x:c r="H67" s="15" t="n"/>
      <x:c r="I67" s="15" t="n"/>
    </x:row>
    <x:row r="68">
      <x:c r="A68" s="15" t="n"/>
      <x:c r="B68" s="15" t="n"/>
      <x:c r="C68" s="15" t="n"/>
      <x:c r="D68" s="15" t="n"/>
      <x:c r="E68" s="15" t="n"/>
      <x:c r="F68" s="15" t="n"/>
      <x:c r="G68" s="15" t="n"/>
      <x:c r="H68" s="15" t="n"/>
      <x:c r="I68" s="15" t="n"/>
    </x:row>
    <x:row r="69">
      <x:c r="A69" s="15" t="n"/>
      <x:c r="B69" s="15" t="n"/>
      <x:c r="C69" s="15" t="n"/>
      <x:c r="D69" s="15" t="n"/>
      <x:c r="E69" s="15" t="n"/>
      <x:c r="F69" s="15" t="n"/>
      <x:c r="G69" s="15" t="n"/>
      <x:c r="H69" s="15" t="n"/>
      <x:c r="I69" s="15" t="n"/>
    </x:row>
    <x:row r="70">
      <x:c r="A70" s="15" t="n"/>
      <x:c r="B70" s="15" t="n"/>
      <x:c r="C70" s="15" t="n"/>
      <x:c r="D70" s="15" t="n"/>
      <x:c r="E70" s="15" t="n"/>
      <x:c r="F70" s="15" t="n"/>
      <x:c r="G70" s="15" t="n"/>
      <x:c r="H70" s="15" t="n"/>
      <x:c r="I70" s="15" t="n"/>
    </x:row>
    <x:row r="71">
      <x:c r="A71" s="15" t="n"/>
      <x:c r="B71" s="15" t="n"/>
      <x:c r="C71" s="15" t="n"/>
      <x:c r="D71" s="15" t="n"/>
      <x:c r="E71" s="15" t="n"/>
      <x:c r="F71" s="15" t="n"/>
      <x:c r="G71" s="15" t="n"/>
      <x:c r="H71" s="15" t="n"/>
      <x:c r="I71" s="15" t="n"/>
    </x:row>
    <x:row r="72">
      <x:c r="A72" s="15" t="n"/>
      <x:c r="B72" s="15" t="n"/>
      <x:c r="C72" s="15" t="n"/>
      <x:c r="D72" s="15" t="n"/>
      <x:c r="E72" s="15" t="n"/>
      <x:c r="F72" s="15" t="n"/>
      <x:c r="G72" s="15" t="n"/>
      <x:c r="H72" s="15" t="n"/>
      <x:c r="I72" s="15" t="n"/>
    </x:row>
    <x:row r="73">
      <x:c r="A73" s="15" t="n"/>
      <x:c r="B73" s="15" t="n"/>
      <x:c r="C73" s="15" t="n"/>
      <x:c r="D73" s="15" t="n"/>
      <x:c r="E73" s="15" t="n"/>
      <x:c r="F73" s="15" t="n"/>
      <x:c r="G73" s="15" t="n"/>
      <x:c r="H73" s="15" t="n"/>
      <x:c r="I73" s="15" t="n"/>
    </x:row>
    <x:row r="74">
      <x:c r="A74" s="15" t="n"/>
      <x:c r="B74" s="15" t="n"/>
      <x:c r="C74" s="15" t="n"/>
      <x:c r="D74" s="15" t="n"/>
      <x:c r="E74" s="15" t="n"/>
      <x:c r="F74" s="15" t="n"/>
      <x:c r="G74" s="15" t="n"/>
      <x:c r="H74" s="15" t="n"/>
      <x:c r="I74" s="15" t="n"/>
    </x:row>
    <x:row r="75">
      <x:c r="A75" s="15" t="n"/>
      <x:c r="B75" s="15" t="n"/>
      <x:c r="C75" s="15" t="n"/>
      <x:c r="D75" s="15" t="n"/>
      <x:c r="E75" s="15" t="n"/>
      <x:c r="F75" s="15" t="n"/>
      <x:c r="G75" s="15" t="n"/>
      <x:c r="H75" s="15" t="n"/>
      <x:c r="I75" s="15" t="n"/>
    </x:row>
    <x:row r="76">
      <x:c r="A76" s="15" t="n"/>
      <x:c r="B76" s="15" t="n"/>
      <x:c r="C76" s="15" t="n"/>
      <x:c r="D76" s="15" t="n"/>
      <x:c r="E76" s="15" t="n"/>
      <x:c r="F76" s="15" t="n"/>
      <x:c r="G76" s="15" t="n"/>
      <x:c r="H76" s="15" t="n"/>
      <x:c r="I76" s="15" t="n"/>
    </x:row>
    <x:row r="77">
      <x:c r="A77" s="15" t="n"/>
      <x:c r="B77" s="15" t="n"/>
      <x:c r="C77" s="15" t="n"/>
      <x:c r="D77" s="15" t="n"/>
      <x:c r="E77" s="15" t="n"/>
      <x:c r="F77" s="15" t="n"/>
      <x:c r="G77" s="15" t="n"/>
      <x:c r="H77" s="15" t="n"/>
      <x:c r="I77" s="15" t="n"/>
    </x:row>
    <x:row r="78">
      <x:c r="A78" s="15" t="n"/>
      <x:c r="B78" s="15" t="n"/>
      <x:c r="C78" s="15" t="n"/>
      <x:c r="D78" s="15" t="n"/>
      <x:c r="E78" s="15" t="n"/>
      <x:c r="F78" s="15" t="n"/>
      <x:c r="G78" s="15" t="n"/>
      <x:c r="H78" s="15" t="n"/>
      <x:c r="I78" s="15" t="n"/>
    </x:row>
    <x:row r="79">
      <x:c r="A79" s="15" t="n"/>
      <x:c r="B79" s="15" t="n"/>
      <x:c r="C79" s="15" t="n"/>
      <x:c r="D79" s="15" t="n"/>
      <x:c r="E79" s="15" t="n"/>
      <x:c r="F79" s="15" t="n"/>
      <x:c r="G79" s="15" t="n"/>
      <x:c r="H79" s="15" t="n"/>
      <x:c r="I79" s="15" t="n"/>
    </x:row>
    <x:row r="80">
      <x:c r="A80" s="15" t="n"/>
      <x:c r="B80" s="15" t="n"/>
      <x:c r="C80" s="15" t="n"/>
      <x:c r="D80" s="15" t="n"/>
      <x:c r="E80" s="15" t="n"/>
      <x:c r="F80" s="15" t="n"/>
      <x:c r="G80" s="15" t="n"/>
      <x:c r="H80" s="15" t="n"/>
      <x:c r="I80" s="15" t="n"/>
    </x:row>
    <x:row r="81">
      <x:c r="A81" s="15" t="n"/>
      <x:c r="B81" s="15" t="n"/>
      <x:c r="C81" s="15" t="n"/>
      <x:c r="D81" s="15" t="n"/>
      <x:c r="E81" s="15" t="n"/>
      <x:c r="F81" s="15" t="n"/>
      <x:c r="G81" s="15" t="n"/>
      <x:c r="H81" s="15" t="n"/>
      <x:c r="I81" s="15" t="n"/>
    </x:row>
    <x:row r="82">
      <x:c r="A82" s="15" t="n"/>
      <x:c r="B82" s="15" t="n"/>
      <x:c r="C82" s="15" t="n"/>
      <x:c r="D82" s="15" t="n"/>
      <x:c r="E82" s="15" t="n"/>
      <x:c r="F82" s="15" t="n"/>
      <x:c r="G82" s="15" t="n"/>
      <x:c r="H82" s="15" t="n"/>
      <x:c r="I82" s="15" t="n"/>
    </x:row>
    <x:row r="83">
      <x:c r="A83" s="15" t="n"/>
      <x:c r="B83" s="15" t="n"/>
      <x:c r="C83" s="15" t="n"/>
      <x:c r="D83" s="15" t="n"/>
      <x:c r="E83" s="15" t="n"/>
      <x:c r="F83" s="15" t="n"/>
      <x:c r="G83" s="15" t="n"/>
      <x:c r="H83" s="15" t="n"/>
      <x:c r="I83" s="15" t="n"/>
    </x:row>
    <x:row r="84">
      <x:c r="A84" s="15" t="n"/>
      <x:c r="B84" s="15" t="n"/>
      <x:c r="C84" s="15" t="n"/>
      <x:c r="D84" s="15" t="n"/>
      <x:c r="E84" s="15" t="n"/>
      <x:c r="F84" s="15" t="n"/>
      <x:c r="G84" s="15" t="n"/>
      <x:c r="H84" s="15" t="n"/>
      <x:c r="I84" s="15" t="n"/>
    </x:row>
    <x:row r="85">
      <x:c r="A85" s="15" t="n"/>
      <x:c r="B85" s="15" t="n"/>
      <x:c r="C85" s="15" t="n"/>
      <x:c r="D85" s="15" t="n"/>
      <x:c r="E85" s="15" t="n"/>
      <x:c r="F85" s="15" t="n"/>
      <x:c r="G85" s="15" t="n"/>
      <x:c r="H85" s="15" t="n"/>
      <x:c r="I85" s="15" t="n"/>
    </x:row>
    <x:row r="86">
      <x:c r="A86" s="15" t="n"/>
      <x:c r="B86" s="15" t="n"/>
      <x:c r="C86" s="15" t="n"/>
      <x:c r="D86" s="15" t="n"/>
      <x:c r="E86" s="15" t="n"/>
      <x:c r="F86" s="15" t="n"/>
      <x:c r="G86" s="15" t="n"/>
      <x:c r="H86" s="15" t="n"/>
      <x:c r="I86" s="15" t="n"/>
    </x:row>
    <x:row r="87">
      <x:c r="A87" s="15" t="n"/>
      <x:c r="B87" s="15" t="n"/>
      <x:c r="C87" s="15" t="n"/>
      <x:c r="D87" s="15" t="n"/>
      <x:c r="E87" s="15" t="n"/>
      <x:c r="F87" s="15" t="n"/>
      <x:c r="G87" s="15" t="n"/>
      <x:c r="H87" s="15" t="n"/>
      <x:c r="I87" s="15" t="n"/>
    </x:row>
    <x:row r="88">
      <x:c r="A88" s="15" t="n"/>
      <x:c r="B88" s="15" t="n"/>
      <x:c r="C88" s="15" t="n"/>
      <x:c r="D88" s="15" t="n"/>
      <x:c r="E88" s="15" t="n"/>
      <x:c r="F88" s="15" t="n"/>
      <x:c r="G88" s="15" t="n"/>
      <x:c r="H88" s="15" t="n"/>
      <x:c r="I88" s="15" t="n"/>
    </x:row>
    <x:row r="89">
      <x:c r="A89" s="15" t="n"/>
      <x:c r="B89" s="15" t="n"/>
      <x:c r="C89" s="15" t="n"/>
      <x:c r="D89" s="15" t="n"/>
      <x:c r="E89" s="15" t="n"/>
      <x:c r="F89" s="15" t="n"/>
      <x:c r="G89" s="15" t="n"/>
      <x:c r="H89" s="15" t="n"/>
      <x:c r="I89" s="15" t="n"/>
    </x:row>
    <x:row r="90">
      <x:c r="A90" s="15" t="n"/>
      <x:c r="B90" s="15" t="n"/>
      <x:c r="C90" s="15" t="n"/>
      <x:c r="D90" s="15" t="n"/>
      <x:c r="E90" s="15" t="n"/>
      <x:c r="F90" s="15" t="n"/>
      <x:c r="G90" s="15" t="n"/>
      <x:c r="H90" s="15" t="n"/>
      <x:c r="I90" s="15" t="n"/>
    </x:row>
    <x:row r="91">
      <x:c r="A91" s="15" t="n"/>
      <x:c r="B91" s="15" t="n"/>
      <x:c r="C91" s="15" t="n"/>
      <x:c r="D91" s="15" t="n"/>
      <x:c r="E91" s="15" t="n"/>
      <x:c r="F91" s="15" t="n"/>
      <x:c r="G91" s="15" t="n"/>
      <x:c r="H91" s="15" t="n"/>
      <x:c r="I91" s="15" t="n"/>
    </x:row>
    <x:row r="92">
      <x:c r="A92" s="15" t="n"/>
      <x:c r="B92" s="15" t="n"/>
      <x:c r="C92" s="15" t="n"/>
      <x:c r="D92" s="15" t="n"/>
      <x:c r="E92" s="15" t="n"/>
      <x:c r="F92" s="15" t="n"/>
      <x:c r="G92" s="15" t="n"/>
      <x:c r="H92" s="15" t="n"/>
      <x:c r="I92" s="15" t="n"/>
    </x:row>
    <x:row r="93">
      <x:c r="A93" s="15" t="n"/>
      <x:c r="B93" s="15" t="n"/>
      <x:c r="C93" s="15" t="n"/>
      <x:c r="D93" s="15" t="n"/>
      <x:c r="E93" s="15" t="n"/>
      <x:c r="F93" s="15" t="n"/>
      <x:c r="G93" s="15" t="n"/>
      <x:c r="H93" s="15" t="n"/>
      <x:c r="I93" s="15" t="n"/>
    </x:row>
    <x:row r="94">
      <x:c r="A94" s="15" t="n"/>
      <x:c r="B94" s="15" t="n"/>
      <x:c r="C94" s="15" t="n"/>
      <x:c r="D94" s="15" t="n"/>
      <x:c r="E94" s="15" t="n"/>
      <x:c r="F94" s="15" t="n"/>
      <x:c r="G94" s="15" t="n"/>
      <x:c r="H94" s="15" t="n"/>
      <x:c r="I94" s="15" t="n"/>
    </x:row>
    <x:row r="95">
      <x:c r="A95" s="15" t="n"/>
      <x:c r="B95" s="15" t="n"/>
      <x:c r="C95" s="15" t="n"/>
      <x:c r="D95" s="15" t="n"/>
      <x:c r="E95" s="15" t="n"/>
      <x:c r="F95" s="15" t="n"/>
      <x:c r="G95" s="15" t="n"/>
      <x:c r="H95" s="15" t="n"/>
      <x:c r="I95" s="15" t="n"/>
    </x:row>
    <x:row r="96">
      <x:c r="A96" s="15" t="n"/>
      <x:c r="B96" s="15" t="n"/>
      <x:c r="C96" s="15" t="n"/>
      <x:c r="D96" s="15" t="n"/>
      <x:c r="E96" s="15" t="n"/>
      <x:c r="F96" s="15" t="n"/>
      <x:c r="G96" s="15" t="n"/>
      <x:c r="H96" s="15" t="n"/>
      <x:c r="I96" s="15" t="n"/>
    </x:row>
    <x:row r="97">
      <x:c r="A97" s="15" t="n"/>
      <x:c r="B97" s="15" t="n"/>
      <x:c r="C97" s="15" t="n"/>
      <x:c r="D97" s="15" t="n"/>
      <x:c r="E97" s="15" t="n"/>
      <x:c r="F97" s="15" t="n"/>
      <x:c r="G97" s="15" t="n"/>
      <x:c r="H97" s="15" t="n"/>
      <x:c r="I97" s="15" t="n"/>
    </x:row>
    <x:row r="98">
      <x:c r="A98" s="15" t="n"/>
      <x:c r="B98" s="15" t="n"/>
      <x:c r="C98" s="15" t="n"/>
      <x:c r="D98" s="15" t="n"/>
      <x:c r="E98" s="15" t="n"/>
      <x:c r="F98" s="15" t="n"/>
      <x:c r="G98" s="15" t="n"/>
      <x:c r="H98" s="15" t="n"/>
      <x:c r="I98" s="15" t="n"/>
    </x:row>
    <x:row r="99">
      <x:c r="A99" s="15" t="n"/>
      <x:c r="B99" s="15" t="n"/>
      <x:c r="C99" s="15" t="n"/>
      <x:c r="D99" s="15" t="n"/>
      <x:c r="E99" s="15" t="n"/>
      <x:c r="F99" s="15" t="n"/>
      <x:c r="G99" s="15" t="n"/>
      <x:c r="H99" s="15" t="n"/>
      <x:c r="I99" s="15" t="n"/>
    </x:row>
    <x:row r="100">
      <x:c r="A100" s="15" t="n"/>
      <x:c r="B100" s="15" t="n"/>
      <x:c r="C100" s="15" t="n"/>
      <x:c r="D100" s="15" t="n"/>
      <x:c r="E100" s="15" t="n"/>
      <x:c r="F100" s="15" t="n"/>
      <x:c r="G100" s="15" t="n"/>
      <x:c r="H100" s="15" t="n"/>
      <x:c r="I100" s="15" t="n"/>
    </x:row>
  </x:sheetData>
  <x:mergeCells>
    <x:mergeCell ref="A1:I1"/>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1" customWidth="1"/>
    <x:col min="2" max="2" width="34" style="1" customWidth="1"/>
    <x:col min="3" max="3" width="38" style="1" customWidth="1"/>
    <x:col min="4" max="4" width="52" style="1" customWidth="1"/>
    <x:col min="5" max="5" width="28" style="1" customWidth="1"/>
    <x:col min="6" max="6" width="34" style="1" customWidth="1"/>
    <x:col min="7" max="7" width="22" style="1" customWidth="1"/>
  </x:cols>
  <x:sheetData>
    <x:row r="1">
      <x:c r="A1" s="8" t="inlineStr">
        <x:is>
          <x:t xml:space="preserve">Chapter</x:t>
        </x:is>
      </x:c>
      <x:c r="B1" s="8" t="inlineStr">
        <x:is>
          <x:t xml:space="preserve">Chapter Title</x:t>
        </x:is>
      </x:c>
      <x:c r="C1" s="8" t="inlineStr">
        <x:is>
          <x:t xml:space="preserve">Scientific Question</x:t>
        </x:is>
      </x:c>
      <x:c r="D1" s="8" t="inlineStr">
        <x:is>
          <x:t xml:space="preserve">Learning Objectives</x:t>
        </x:is>
      </x:c>
      <x:c r="E1" s="8" t="inlineStr">
        <x:is>
          <x:t xml:space="preserve">Primary Skills / Representations</x:t>
        </x:is>
      </x:c>
      <x:c r="F1" s="8" t="inlineStr">
        <x:is>
          <x:t xml:space="preserve">Assessment Connections</x:t>
        </x:is>
      </x:c>
      <x:c r="G1" s="8" t="inlineStr">
        <x:is>
          <x:t xml:space="preserve">Instructor Notes</x:t>
        </x:is>
      </x:c>
    </x:row>
    <x:row r="2">
      <x:c r="A2" s="15" t="inlineStr">
        <x:is>
          <x:t xml:space="preserve">1</x:t>
        </x:is>
      </x:c>
      <x:c r="B2" s="15" t="inlineStr">
        <x:is>
          <x:t xml:space="preserve">Biochemistry Concepts and Themes</x:t>
        </x:is>
      </x:c>
      <x:c r="C2" s="15" t="inlineStr">
        <x:is>
          <x:t xml:space="preserve">What is biochemistry, and how do chemical principles explain living systems?</x:t>
        </x:is>
      </x:c>
      <x:c r="D2" s="15" t="inlineStr">
        <x:is>
          <x:t xml:space="preserve">Explain how structure, energy, equilibrium, and molecular interactions provide a chemical framework for living systems.
Connect cellular function to molecular-level events.
Use biochemical language to describe molecules, reactions, and systems.</x:t>
        </x:is>
      </x:c>
      <x:c r="E2" s="15" t="inlineStr">
        <x:is>
          <x:t xml:space="preserve">systems thinking; molecular reasoning; energy diagrams</x:t>
        </x:is>
      </x:c>
      <x:c r="F2" s="15" t="inlineStr">
        <x:is>
          <x:t xml:space="preserve">Adaptive quiz, homework, exam questions, and in-class application</x:t>
        </x:is>
      </x:c>
      <x:c r="G2" s="15" t="inlineStr">
        <x:is>
          <x:t xml:space="preserve">TBD</x:t>
        </x:is>
      </x:c>
    </x:row>
    <x:row r="3">
      <x:c r="A3" s="15" t="inlineStr">
        <x:is>
          <x:t xml:space="preserve">2</x:t>
        </x:is>
      </x:c>
      <x:c r="B3" s="15" t="inlineStr">
        <x:is>
          <x:t xml:space="preserve">Water: The Chemistry of Life</x:t>
        </x:is>
      </x:c>
      <x:c r="C3" s="15" t="inlineStr">
        <x:is>
          <x:t xml:space="preserve">Why is water the molecular environment that makes life possible?</x:t>
        </x:is>
      </x:c>
      <x:c r="D3" s="15" t="inlineStr">
        <x:is>
          <x:t xml:space="preserve">Describe how water structure explains hydrogen bonding, solubility, weak interactions, and buffer behavior.
Use acid-base reasoning to interpret pH and buffering.
Explain why aqueous environments shape biomolecular structure and function.</x:t>
        </x:is>
      </x:c>
      <x:c r="E3" s="15" t="inlineStr">
        <x:is>
          <x:t xml:space="preserve">acid-base reasoning; pH/buffers; intermolecular forces</x:t>
        </x:is>
      </x:c>
      <x:c r="F3" s="15" t="inlineStr">
        <x:is>
          <x:t xml:space="preserve">Adaptive quiz, homework, exam questions, and in-class application</x:t>
        </x:is>
      </x:c>
      <x:c r="G3" s="15" t="inlineStr">
        <x:is>
          <x:t xml:space="preserve">TBD</x:t>
        </x:is>
      </x:c>
    </x:row>
    <x:row r="4">
      <x:c r="A4" s="15" t="inlineStr">
        <x:is>
          <x:t xml:space="preserve">3</x:t>
        </x:is>
      </x:c>
      <x:c r="B4" s="15" t="inlineStr">
        <x:is>
          <x:t xml:space="preserve">Amino Acids, Peptides, and Proteins</x:t>
        </x:is>
      </x:c>
      <x:c r="C4" s="15" t="inlineStr">
        <x:is>
          <x:t xml:space="preserve">How do amino acid properties determine protein behavior?</x:t>
        </x:is>
      </x:c>
      <x:c r="D4" s="15" t="inlineStr">
        <x:is>
          <x:t xml:space="preserve">Classify amino acids by chemical properties and predict how side chains influence charge, solubility, and interactions.
Use titration and buffer reasoning to analyze amino acids and peptides.
Connect primary sequence to polypeptide behavior.</x:t>
        </x:is>
      </x:c>
      <x:c r="E4" s="15" t="inlineStr">
        <x:is>
          <x:t xml:space="preserve">charge states; titration curves; structure-property reasoning</x:t>
        </x:is>
      </x:c>
      <x:c r="F4" s="15" t="inlineStr">
        <x:is>
          <x:t xml:space="preserve">Adaptive quiz, homework, exam questions, and in-class application</x:t>
        </x:is>
      </x:c>
      <x:c r="G4" s="15" t="inlineStr">
        <x:is>
          <x:t xml:space="preserve">TBD</x:t>
        </x:is>
      </x:c>
    </x:row>
    <x:row r="5">
      <x:c r="A5" s="15" t="inlineStr">
        <x:is>
          <x:t xml:space="preserve">4</x:t>
        </x:is>
      </x:c>
      <x:c r="B5" s="15" t="inlineStr">
        <x:is>
          <x:t xml:space="preserve">Protein Structure</x:t>
        </x:is>
      </x:c>
      <x:c r="C5" s="15" t="inlineStr">
        <x:is>
          <x:t xml:space="preserve">How does protein structure create biological function?</x:t>
        </x:is>
      </x:c>
      <x:c r="D5" s="15" t="inlineStr">
        <x:is>
          <x:t xml:space="preserve">Describe levels of protein structure and the interactions that stabilize them.
Interpret protein representations and connect structure to function.
Explain how folding, stability, and molecular environment influence protein behavior.</x:t>
        </x:is>
      </x:c>
      <x:c r="E5" s="15" t="inlineStr">
        <x:is>
          <x:t xml:space="preserve">protein representations; hierarchy of structure; structure-function reasoning</x:t>
        </x:is>
      </x:c>
      <x:c r="F5" s="15" t="inlineStr">
        <x:is>
          <x:t xml:space="preserve">Adaptive quiz, homework, exam questions, and in-class application</x:t>
        </x:is>
      </x:c>
      <x:c r="G5" s="15" t="inlineStr">
        <x:is>
          <x:t xml:space="preserve">TBD</x:t>
        </x:is>
      </x:c>
    </x:row>
    <x:row r="6">
      <x:c r="A6" s="15" t="inlineStr">
        <x:is>
          <x:t xml:space="preserve">5</x:t>
        </x:is>
      </x:c>
      <x:c r="B6" s="15" t="inlineStr">
        <x:is>
          <x:t xml:space="preserve">Protein Function and Ligand Binding</x:t>
        </x:is>
      </x:c>
      <x:c r="C6" s="15" t="inlineStr">
        <x:is>
          <x:t xml:space="preserve">How do proteins recognize and bind specific molecules?</x:t>
        </x:is>
      </x:c>
      <x:c r="D6" s="15" t="inlineStr">
        <x:is>
          <x:t xml:space="preserve">Explain ligand binding using affinity, specificity, and saturation.
Interpret binding curves and distinguish cooperative from noncooperative behavior.
Connect molecular recognition to biological regulation.</x:t>
        </x:is>
      </x:c>
      <x:c r="E6" s="15" t="inlineStr">
        <x:is>
          <x:t xml:space="preserve">binding curves; affinity; cooperativity</x:t>
        </x:is>
      </x:c>
      <x:c r="F6" s="15" t="inlineStr">
        <x:is>
          <x:t xml:space="preserve">Adaptive quiz, homework, exam questions, and in-class application</x:t>
        </x:is>
      </x:c>
      <x:c r="G6" s="15" t="inlineStr">
        <x:is>
          <x:t xml:space="preserve">TBD</x:t>
        </x:is>
      </x:c>
    </x:row>
    <x:row r="7">
      <x:c r="A7" s="15" t="inlineStr">
        <x:is>
          <x:t xml:space="preserve">6</x:t>
        </x:is>
      </x:c>
      <x:c r="B7" s="15" t="inlineStr">
        <x:is>
          <x:t xml:space="preserve">Protein Functions and Enzymes</x:t>
        </x:is>
      </x:c>
      <x:c r="C7" s="15" t="inlineStr">
        <x:is>
          <x:t xml:space="preserve">How do enzymes accelerate reactions and regulate cellular chemistry?</x:t>
        </x:is>
      </x:c>
      <x:c r="D7" s="15" t="inlineStr">
        <x:is>
          <x:t xml:space="preserve">Explain how enzymes lower activation energy and increase reaction rates.
Interpret kinetic parameters and enzyme mechanisms.
Connect regulation, inhibition, and catalysis to cellular control.</x:t>
        </x:is>
      </x:c>
      <x:c r="E7" s="15" t="inlineStr">
        <x:is>
          <x:t xml:space="preserve">kinetic graphs; mechanisms; regulation models</x:t>
        </x:is>
      </x:c>
      <x:c r="F7" s="15" t="inlineStr">
        <x:is>
          <x:t xml:space="preserve">Adaptive quiz, homework, exam questions, and in-class application</x:t>
        </x:is>
      </x:c>
      <x:c r="G7" s="15" t="inlineStr">
        <x:is>
          <x:t xml:space="preserve">TBD</x:t>
        </x:is>
      </x:c>
    </x:row>
    <x:row r="8">
      <x:c r="A8" s="15" t="inlineStr">
        <x:is>
          <x:t xml:space="preserve">7</x:t>
        </x:is>
      </x:c>
      <x:c r="B8" s="15" t="inlineStr">
        <x:is>
          <x:t xml:space="preserve">Carbohydrates</x:t>
        </x:is>
      </x:c>
      <x:c r="C8" s="15" t="inlineStr">
        <x:is>
          <x:t xml:space="preserve">How do carbohydrates store information, energy, and structure?</x:t>
        </x:is>
      </x:c>
      <x:c r="D8" s="15" t="inlineStr">
        <x:is>
          <x:t xml:space="preserve">Identify major carbohydrate classes and link glycosidic structure to function.
Explain how carbohydrates contribute to energy storage, recognition, and structure.
Interpret carbohydrate representations and nomenclature.</x:t>
        </x:is>
      </x:c>
      <x:c r="E8" s="15" t="inlineStr">
        <x:is>
          <x:t xml:space="preserve">molecular structures; linkage recognition; functional classification</x:t>
        </x:is>
      </x:c>
      <x:c r="F8" s="15" t="inlineStr">
        <x:is>
          <x:t xml:space="preserve">Adaptive quiz, homework, exam questions, and in-class application</x:t>
        </x:is>
      </x:c>
      <x:c r="G8" s="15" t="inlineStr">
        <x:is>
          <x:t xml:space="preserve">TBD</x:t>
        </x:is>
      </x:c>
    </x:row>
    <x:row r="9">
      <x:c r="A9" s="15" t="inlineStr">
        <x:is>
          <x:t xml:space="preserve">8</x:t>
        </x:is>
      </x:c>
      <x:c r="B9" s="15" t="inlineStr">
        <x:is>
          <x:t xml:space="preserve">Lipids, Membranes, and Membrane Proteins</x:t>
        </x:is>
      </x:c>
      <x:c r="C9" s="15" t="inlineStr">
        <x:is>
          <x:t xml:space="preserve">How do lipids and membranes organize cellular boundaries and signaling?</x:t>
        </x:is>
      </x:c>
      <x:c r="D9" s="15" t="inlineStr">
        <x:is>
          <x:t xml:space="preserve">Describe lipid classes and membrane organization.
Explain how membrane structure supports transport, signaling, and compartmentalization.
Connect membrane proteins to cellular communication and regulation.</x:t>
        </x:is>
      </x:c>
      <x:c r="E9" s="15" t="inlineStr">
        <x:is>
          <x:t xml:space="preserve">membrane diagrams; transport models; signaling representations</x:t>
        </x:is>
      </x:c>
      <x:c r="F9" s="15" t="inlineStr">
        <x:is>
          <x:t xml:space="preserve">Adaptive quiz, homework, exam questions, and in-class application</x:t>
        </x:is>
      </x:c>
      <x:c r="G9" s="15" t="inlineStr">
        <x:is>
          <x:t xml:space="preserve">TBD</x:t>
        </x:is>
      </x:c>
    </x:row>
    <x:row r="10">
      <x:c r="A10" s="15" t="inlineStr">
        <x:is>
          <x:t xml:space="preserve">9</x:t>
        </x:is>
      </x:c>
      <x:c r="B10" s="15" t="inlineStr">
        <x:is>
          <x:t xml:space="preserve">Nucleotides and Nucleic Acids</x:t>
        </x:is>
      </x:c>
      <x:c r="C10" s="15" t="inlineStr">
        <x:is>
          <x:t xml:space="preserve">How is genetic information encoded in nucleic acid structure?</x:t>
        </x:is>
      </x:c>
      <x:c r="D10" s="15" t="inlineStr">
        <x:is>
          <x:t xml:space="preserve">Describe nucleotide and nucleic acid structure.
Explain how base pairing and polymer directionality encode information.
Connect molecular structure to DNA and RNA function.</x:t>
        </x:is>
      </x:c>
      <x:c r="E10" s="15" t="inlineStr">
        <x:is>
          <x:t xml:space="preserve">base pairing; sequence directionality; polymer structure</x:t>
        </x:is>
      </x:c>
      <x:c r="F10" s="15" t="inlineStr">
        <x:is>
          <x:t xml:space="preserve">Adaptive quiz, homework, exam questions, and in-class application</x:t>
        </x:is>
      </x:c>
      <x:c r="G10" s="15" t="inlineStr">
        <x:is>
          <x:t xml:space="preserve">TBD</x:t>
        </x:is>
      </x:c>
    </x:row>
    <x:row r="11">
      <x:c r="A11" s="15" t="inlineStr">
        <x:is>
          <x:t xml:space="preserve">10</x:t>
        </x:is>
      </x:c>
      <x:c r="B11" s="15" t="inlineStr">
        <x:is>
          <x:t xml:space="preserve">DNA and RNA Metabolism</x:t>
        </x:is>
      </x:c>
      <x:c r="C11" s="15" t="inlineStr">
        <x:is>
          <x:t xml:space="preserve">How is genetic information copied and transcribed?</x:t>
        </x:is>
      </x:c>
      <x:c r="D11" s="15" t="inlineStr">
        <x:is>
          <x:t xml:space="preserve">Explain the core logic of DNA replication, repair, and transcription.
Connect enzyme function to information flow.
Compare mechanisms that maintain, copy, and express genetic information.</x:t>
        </x:is>
      </x:c>
      <x:c r="E11" s="15" t="inlineStr">
        <x:is>
          <x:t xml:space="preserve">mechanism diagrams; information flow; enzyme roles</x:t>
        </x:is>
      </x:c>
      <x:c r="F11" s="15" t="inlineStr">
        <x:is>
          <x:t xml:space="preserve">Adaptive quiz, homework, exam questions, and in-class application</x:t>
        </x:is>
      </x:c>
      <x:c r="G11" s="15" t="inlineStr">
        <x:is>
          <x:t xml:space="preserve">TBD</x:t>
        </x:is>
      </x:c>
    </x:row>
    <x:row r="12">
      <x:c r="A12" s="15" t="inlineStr">
        <x:is>
          <x:t xml:space="preserve">11</x:t>
        </x:is>
      </x:c>
      <x:c r="B12" s="15" t="inlineStr">
        <x:is>
          <x:t xml:space="preserve">Protein Metabolism</x:t>
        </x:is>
      </x:c>
      <x:c r="C12" s="15" t="inlineStr">
        <x:is>
          <x:t xml:space="preserve">How is genetic information translated into protein?</x:t>
        </x:is>
      </x:c>
      <x:c r="D12" s="15" t="inlineStr">
        <x:is>
          <x:t xml:space="preserve">Explain how genetic information is translated into protein sequence.
Connect codons, tRNAs, ribosomes, and protein synthesis.
Relate protein metabolism to cellular regulation and energy demand.</x:t>
        </x:is>
      </x:c>
      <x:c r="E12" s="15" t="inlineStr">
        <x:is>
          <x:t xml:space="preserve">codon tables; translation models; pathway logic</x:t>
        </x:is>
      </x:c>
      <x:c r="F12" s="15" t="inlineStr">
        <x:is>
          <x:t xml:space="preserve">Adaptive quiz, homework, exam questions, and in-class application</x:t>
        </x:is>
      </x:c>
      <x:c r="G12" s="15" t="inlineStr">
        <x:is>
          <x:t xml:space="preserve">TBD</x:t>
        </x:is>
      </x:c>
    </x:row>
    <x:row r="13">
      <x:c r="A13" s="15" t="inlineStr">
        <x:is>
          <x:t xml:space="preserve">13</x:t>
        </x:is>
      </x:c>
      <x:c r="B13" s="15" t="inlineStr">
        <x:is>
          <x:t xml:space="preserve">Introduction to Intermediary Metabolism</x:t>
        </x:is>
      </x:c>
      <x:c r="C13" s="15" t="inlineStr">
        <x:is>
          <x:t xml:space="preserve">How do cells organize metabolism and manage energy?</x:t>
        </x:is>
      </x:c>
      <x:c r="D13" s="15" t="inlineStr">
        <x:is>
          <x:t xml:space="preserve">Describe the purpose and organization of metabolic pathways.
Explain how thermodynamics, redox chemistry, and energy carriers support metabolism.
Connect catabolism, anabolism, and regulation.</x:t>
        </x:is>
      </x:c>
      <x:c r="E13" s="15" t="inlineStr">
        <x:is>
          <x:t xml:space="preserve">pathway maps; redox accounting; energy coupling</x:t>
        </x:is>
      </x:c>
      <x:c r="F13" s="15" t="inlineStr">
        <x:is>
          <x:t xml:space="preserve">Adaptive quiz, homework, exam questions, and in-class application</x:t>
        </x:is>
      </x:c>
      <x:c r="G13" s="15" t="inlineStr">
        <x:is>
          <x:t xml:space="preserve">TBD</x:t>
        </x:is>
      </x:c>
    </x:row>
    <x:row r="14">
      <x:c r="A14" s="15" t="inlineStr">
        <x:is>
          <x:t xml:space="preserve">14</x:t>
        </x:is>
      </x:c>
      <x:c r="B14" s="15" t="inlineStr">
        <x:is>
          <x:t xml:space="preserve">Carbohydrate Metabolism I: Glycolysis and Glycogen Synthesis</x:t>
        </x:is>
      </x:c>
      <x:c r="C14" s="15" t="inlineStr">
        <x:is>
          <x:t xml:space="preserve">How do cells extract energy from glucose?</x:t>
        </x:is>
      </x:c>
      <x:c r="D14" s="15" t="inlineStr">
        <x:is>
          <x:t xml:space="preserve">Explain the logic of glycolysis and glycogen metabolism.
Track carbon, energy, and redox changes during carbohydrate metabolism.
Connect pathway regulation to cellular needs.</x:t>
        </x:is>
      </x:c>
      <x:c r="E14" s="15" t="inlineStr">
        <x:is>
          <x:t xml:space="preserve">carbon tracking; pathway regulation; energy accounting</x:t>
        </x:is>
      </x:c>
      <x:c r="F14" s="15" t="inlineStr">
        <x:is>
          <x:t xml:space="preserve">Adaptive quiz, homework, exam questions, and in-class application</x:t>
        </x:is>
      </x:c>
      <x:c r="G14" s="15" t="inlineStr">
        <x:is>
          <x:t xml:space="preserve">TBD</x:t>
        </x:is>
      </x:c>
    </x:row>
    <x:row r="15">
      <x:c r="A15" s="15" t="inlineStr">
        <x:is>
          <x:t xml:space="preserve">16</x:t>
        </x:is>
      </x:c>
      <x:c r="B15" s="15" t="inlineStr">
        <x:is>
          <x:t xml:space="preserve">Pyruvate Oxidation and the Citric Acid Cycle</x:t>
        </x:is>
      </x:c>
      <x:c r="C15" s="15" t="inlineStr">
        <x:is>
          <x:t xml:space="preserve">How does the citric acid cycle connect carbon flow to energy production?</x:t>
        </x:is>
      </x:c>
      <x:c r="D15" s="15" t="inlineStr">
        <x:is>
          <x:t xml:space="preserve">Explain how pyruvate oxidation and the citric acid cycle connect fuel breakdown to energy capture.
Track carbon flow, reducing equivalents, and regulatory steps.
Connect pathway integration to metabolism as a system.</x:t>
        </x:is>
      </x:c>
      <x:c r="E15" s="15" t="inlineStr">
        <x:is>
          <x:t xml:space="preserve">cycle mapping; redox and carbon flow; integration</x:t>
        </x:is>
      </x:c>
      <x:c r="F15" s="15" t="inlineStr">
        <x:is>
          <x:t xml:space="preserve">Adaptive quiz, homework, exam questions, and in-class application</x:t>
        </x:is>
      </x:c>
      <x:c r="G15" s="15" t="inlineStr">
        <x:is>
          <x:t xml:space="preserve">TBD</x:t>
        </x:is>
      </x:c>
    </x:row>
    <x:row r="16">
      <x:c r="A16" s="15" t="inlineStr">
        <x:is>
          <x:t xml:space="preserve">19</x:t>
        </x:is>
      </x:c>
      <x:c r="B16" s="15" t="inlineStr">
        <x:is>
          <x:t xml:space="preserve">Electron Transfer and Oxidative Phosphorylation</x:t>
        </x:is>
      </x:c>
      <x:c r="C16" s="15" t="inlineStr">
        <x:is>
          <x:t xml:space="preserve">How do cells convert electron flow into ATP?</x:t>
        </x:is>
      </x:c>
      <x:c r="D16" s="15" t="inlineStr">
        <x:is>
          <x:t xml:space="preserve">Explain how electron transfer drives proton gradients and ATP synthesis.
Connect redox reactions, membrane organization, and chemiosmosis.
Interpret oxidative phosphorylation as energy conversion.</x:t>
        </x:is>
      </x:c>
      <x:c r="E16" s="15" t="inlineStr">
        <x:is>
          <x:t xml:space="preserve">electron transport diagrams; proton gradients; ATP synthesis models</x:t>
        </x:is>
      </x:c>
      <x:c r="F16" s="15" t="inlineStr">
        <x:is>
          <x:t xml:space="preserve">Adaptive quiz, homework, exam questions, and in-class application</x:t>
        </x:is>
      </x:c>
      <x:c r="G16" s="15" t="inlineStr">
        <x:is>
          <x:t xml:space="preserve">TBD</x:t>
        </x:is>
      </x:c>
    </x:row>
    <x:row r="17">
      <x:c r="A17" s="15" t="n"/>
      <x:c r="B17" s="15" t="n"/>
      <x:c r="C17" s="15" t="n"/>
      <x:c r="D17" s="15" t="n"/>
      <x:c r="E17" s="15" t="n"/>
      <x:c r="F17" s="15" t="n"/>
      <x:c r="G17" s="15" t="n"/>
    </x:row>
    <x:row r="18">
      <x:c r="A18" s="15" t="n"/>
      <x:c r="B18" s="15" t="n"/>
      <x:c r="C18" s="15" t="n"/>
      <x:c r="D18" s="15" t="n"/>
      <x:c r="E18" s="15" t="n"/>
      <x:c r="F18" s="15" t="n"/>
      <x:c r="G18" s="15" t="n"/>
    </x:row>
    <x:row r="19">
      <x:c r="A19" s="15" t="n"/>
      <x:c r="B19" s="15" t="n"/>
      <x:c r="C19" s="15" t="n"/>
      <x:c r="D19" s="15" t="n"/>
      <x:c r="E19" s="15" t="n"/>
      <x:c r="F19" s="15" t="n"/>
      <x:c r="G19" s="15" t="n"/>
    </x:row>
    <x:row r="20">
      <x:c r="A20" s="15" t="n"/>
      <x:c r="B20" s="15" t="n"/>
      <x:c r="C20" s="15" t="n"/>
      <x:c r="D20" s="15" t="n"/>
      <x:c r="E20" s="15" t="n"/>
      <x:c r="F20" s="15" t="n"/>
      <x:c r="G20" s="15" t="n"/>
    </x:row>
    <x:row r="21">
      <x:c r="A21" s="15" t="n"/>
      <x:c r="B21" s="15" t="n"/>
      <x:c r="C21" s="15" t="n"/>
      <x:c r="D21" s="15" t="n"/>
      <x:c r="E21" s="15" t="n"/>
      <x:c r="F21" s="15" t="n"/>
      <x:c r="G21" s="15" t="n"/>
    </x:row>
    <x:row r="22">
      <x:c r="A22" s="15" t="n"/>
      <x:c r="B22" s="15" t="n"/>
      <x:c r="C22" s="15" t="n"/>
      <x:c r="D22" s="15" t="n"/>
      <x:c r="E22" s="15" t="n"/>
      <x:c r="F22" s="15" t="n"/>
      <x:c r="G22" s="15" t="n"/>
    </x:row>
    <x:row r="23">
      <x:c r="A23" s="15" t="n"/>
      <x:c r="B23" s="15" t="n"/>
      <x:c r="C23" s="15" t="n"/>
      <x:c r="D23" s="15" t="n"/>
      <x:c r="E23" s="15" t="n"/>
      <x:c r="F23" s="15" t="n"/>
      <x:c r="G23" s="15" t="n"/>
    </x:row>
    <x:row r="24">
      <x:c r="A24" s="15" t="n"/>
      <x:c r="B24" s="15" t="n"/>
      <x:c r="C24" s="15" t="n"/>
      <x:c r="D24" s="15" t="n"/>
      <x:c r="E24" s="15" t="n"/>
      <x:c r="F24" s="15" t="n"/>
      <x:c r="G24" s="15" t="n"/>
    </x:row>
    <x:row r="25">
      <x:c r="A25" s="15" t="n"/>
      <x:c r="B25" s="15" t="n"/>
      <x:c r="C25" s="15" t="n"/>
      <x:c r="D25" s="15" t="n"/>
      <x:c r="E25" s="15" t="n"/>
      <x:c r="F25" s="15" t="n"/>
      <x:c r="G25" s="15" t="n"/>
    </x:row>
    <x:row r="26">
      <x:c r="A26" s="15" t="n"/>
      <x:c r="B26" s="15" t="n"/>
      <x:c r="C26" s="15" t="n"/>
      <x:c r="D26" s="15" t="n"/>
      <x:c r="E26" s="15" t="n"/>
      <x:c r="F26" s="15" t="n"/>
      <x:c r="G26" s="15" t="n"/>
    </x:row>
    <x:row r="27">
      <x:c r="A27" s="15" t="n"/>
      <x:c r="B27" s="15" t="n"/>
      <x:c r="C27" s="15" t="n"/>
      <x:c r="D27" s="15" t="n"/>
      <x:c r="E27" s="15" t="n"/>
      <x:c r="F27" s="15" t="n"/>
      <x:c r="G27" s="15" t="n"/>
    </x:row>
    <x:row r="28">
      <x:c r="A28" s="15" t="n"/>
      <x:c r="B28" s="15" t="n"/>
      <x:c r="C28" s="15" t="n"/>
      <x:c r="D28" s="15" t="n"/>
      <x:c r="E28" s="15" t="n"/>
      <x:c r="F28" s="15" t="n"/>
      <x:c r="G28" s="15" t="n"/>
    </x:row>
    <x:row r="29">
      <x:c r="A29" s="15" t="n"/>
      <x:c r="B29" s="15" t="n"/>
      <x:c r="C29" s="15" t="n"/>
      <x:c r="D29" s="15" t="n"/>
      <x:c r="E29" s="15" t="n"/>
      <x:c r="F29" s="15" t="n"/>
      <x:c r="G29" s="15" t="n"/>
    </x:row>
    <x:row r="30">
      <x:c r="A30" s="15" t="n"/>
      <x:c r="B30" s="15" t="n"/>
      <x:c r="C30" s="15" t="n"/>
      <x:c r="D30" s="15" t="n"/>
      <x:c r="E30" s="15" t="n"/>
      <x:c r="F30" s="15" t="n"/>
      <x:c r="G30" s="15" t="n"/>
    </x:row>
    <x:row r="31">
      <x:c r="A31" s="15" t="n"/>
      <x:c r="B31" s="15" t="n"/>
      <x:c r="C31" s="15" t="n"/>
      <x:c r="D31" s="15" t="n"/>
      <x:c r="E31" s="15" t="n"/>
      <x:c r="F31" s="15" t="n"/>
      <x:c r="G31" s="15" t="n"/>
    </x:row>
    <x:row r="32">
      <x:c r="A32" s="15" t="n"/>
      <x:c r="B32" s="15" t="n"/>
      <x:c r="C32" s="15" t="n"/>
      <x:c r="D32" s="15" t="n"/>
      <x:c r="E32" s="15" t="n"/>
      <x:c r="F32" s="15" t="n"/>
      <x:c r="G32" s="15" t="n"/>
    </x:row>
    <x:row r="33">
      <x:c r="A33" s="15" t="n"/>
      <x:c r="B33" s="15" t="n"/>
      <x:c r="C33" s="15" t="n"/>
      <x:c r="D33" s="15" t="n"/>
      <x:c r="E33" s="15" t="n"/>
      <x:c r="F33" s="15" t="n"/>
      <x:c r="G33" s="15" t="n"/>
    </x:row>
    <x:row r="34">
      <x:c r="A34" s="15" t="n"/>
      <x:c r="B34" s="15" t="n"/>
      <x:c r="C34" s="15" t="n"/>
      <x:c r="D34" s="15" t="n"/>
      <x:c r="E34" s="15" t="n"/>
      <x:c r="F34" s="15" t="n"/>
      <x:c r="G34" s="15" t="n"/>
    </x:row>
    <x:row r="35">
      <x:c r="A35" s="15" t="n"/>
      <x:c r="B35" s="15" t="n"/>
      <x:c r="C35" s="15" t="n"/>
      <x:c r="D35" s="15" t="n"/>
      <x:c r="E35" s="15" t="n"/>
      <x:c r="F35" s="15" t="n"/>
      <x:c r="G35" s="15" t="n"/>
    </x:row>
    <x:row r="36">
      <x:c r="A36" s="15" t="n"/>
      <x:c r="B36" s="15" t="n"/>
      <x:c r="C36" s="15" t="n"/>
      <x:c r="D36" s="15" t="n"/>
      <x:c r="E36" s="15" t="n"/>
      <x:c r="F36" s="15" t="n"/>
      <x:c r="G36" s="15" t="n"/>
    </x:row>
    <x:row r="37">
      <x:c r="A37" s="15" t="n"/>
      <x:c r="B37" s="15" t="n"/>
      <x:c r="C37" s="15" t="n"/>
      <x:c r="D37" s="15" t="n"/>
      <x:c r="E37" s="15" t="n"/>
      <x:c r="F37" s="15" t="n"/>
      <x:c r="G37" s="15" t="n"/>
    </x:row>
    <x:row r="38">
      <x:c r="A38" s="15" t="n"/>
      <x:c r="B38" s="15" t="n"/>
      <x:c r="C38" s="15" t="n"/>
      <x:c r="D38" s="15" t="n"/>
      <x:c r="E38" s="15" t="n"/>
      <x:c r="F38" s="15" t="n"/>
      <x:c r="G38" s="15" t="n"/>
    </x:row>
    <x:row r="39">
      <x:c r="A39" s="15" t="n"/>
      <x:c r="B39" s="15" t="n"/>
      <x:c r="C39" s="15" t="n"/>
      <x:c r="D39" s="15" t="n"/>
      <x:c r="E39" s="15" t="n"/>
      <x:c r="F39" s="15" t="n"/>
      <x:c r="G39" s="15" t="n"/>
    </x:row>
    <x:row r="40">
      <x:c r="A40" s="15" t="n"/>
      <x:c r="B40" s="15" t="n"/>
      <x:c r="C40" s="15" t="n"/>
      <x:c r="D40" s="15" t="n"/>
      <x:c r="E40" s="15" t="n"/>
      <x:c r="F40" s="15" t="n"/>
      <x:c r="G40" s="15" t="n"/>
    </x:row>
    <x:row r="41">
      <x:c r="A41" s="15" t="n"/>
      <x:c r="B41" s="15" t="n"/>
      <x:c r="C41" s="15" t="n"/>
      <x:c r="D41" s="15" t="n"/>
      <x:c r="E41" s="15" t="n"/>
      <x:c r="F41" s="15" t="n"/>
      <x:c r="G41" s="15" t="n"/>
    </x:row>
    <x:row r="42">
      <x:c r="A42" s="15" t="n"/>
      <x:c r="B42" s="15" t="n"/>
      <x:c r="C42" s="15" t="n"/>
      <x:c r="D42" s="15" t="n"/>
      <x:c r="E42" s="15" t="n"/>
      <x:c r="F42" s="15" t="n"/>
      <x:c r="G42" s="15" t="n"/>
    </x:row>
    <x:row r="43">
      <x:c r="A43" s="15" t="n"/>
      <x:c r="B43" s="15" t="n"/>
      <x:c r="C43" s="15" t="n"/>
      <x:c r="D43" s="15" t="n"/>
      <x:c r="E43" s="15" t="n"/>
      <x:c r="F43" s="15" t="n"/>
      <x:c r="G43" s="15" t="n"/>
    </x:row>
    <x:row r="44">
      <x:c r="A44" s="15" t="n"/>
      <x:c r="B44" s="15" t="n"/>
      <x:c r="C44" s="15" t="n"/>
      <x:c r="D44" s="15" t="n"/>
      <x:c r="E44" s="15" t="n"/>
      <x:c r="F44" s="15" t="n"/>
      <x:c r="G44" s="15" t="n"/>
    </x:row>
    <x:row r="45">
      <x:c r="A45" s="15" t="n"/>
      <x:c r="B45" s="15" t="n"/>
      <x:c r="C45" s="15" t="n"/>
      <x:c r="D45" s="15" t="n"/>
      <x:c r="E45" s="15" t="n"/>
      <x:c r="F45" s="15" t="n"/>
      <x:c r="G45" s="15" t="n"/>
    </x:row>
    <x:row r="46">
      <x:c r="A46" s="15" t="n"/>
      <x:c r="B46" s="15" t="n"/>
      <x:c r="C46" s="15" t="n"/>
      <x:c r="D46" s="15" t="n"/>
      <x:c r="E46" s="15" t="n"/>
      <x:c r="F46" s="15" t="n"/>
      <x:c r="G46" s="15" t="n"/>
    </x:row>
    <x:row r="47">
      <x:c r="A47" s="15" t="n"/>
      <x:c r="B47" s="15" t="n"/>
      <x:c r="C47" s="15" t="n"/>
      <x:c r="D47" s="15" t="n"/>
      <x:c r="E47" s="15" t="n"/>
      <x:c r="F47" s="15" t="n"/>
      <x:c r="G47" s="15" t="n"/>
    </x:row>
    <x:row r="48">
      <x:c r="A48" s="15" t="n"/>
      <x:c r="B48" s="15" t="n"/>
      <x:c r="C48" s="15" t="n"/>
      <x:c r="D48" s="15" t="n"/>
      <x:c r="E48" s="15" t="n"/>
      <x:c r="F48" s="15" t="n"/>
      <x:c r="G48" s="15" t="n"/>
    </x:row>
    <x:row r="49">
      <x:c r="A49" s="15" t="n"/>
      <x:c r="B49" s="15" t="n"/>
      <x:c r="C49" s="15" t="n"/>
      <x:c r="D49" s="15" t="n"/>
      <x:c r="E49" s="15" t="n"/>
      <x:c r="F49" s="15" t="n"/>
      <x:c r="G49" s="15" t="n"/>
    </x:row>
    <x:row r="50">
      <x:c r="A50" s="15" t="n"/>
      <x:c r="B50" s="15" t="n"/>
      <x:c r="C50" s="15" t="n"/>
      <x:c r="D50" s="15" t="n"/>
      <x:c r="E50" s="15" t="n"/>
      <x:c r="F50" s="15" t="n"/>
      <x:c r="G50" s="15" t="n"/>
    </x:row>
    <x:row r="51">
      <x:c r="A51" s="15" t="n"/>
      <x:c r="B51" s="15" t="n"/>
      <x:c r="C51" s="15" t="n"/>
      <x:c r="D51" s="15" t="n"/>
      <x:c r="E51" s="15" t="n"/>
      <x:c r="F51" s="15" t="n"/>
      <x:c r="G51" s="15" t="n"/>
    </x:row>
    <x:row r="52">
      <x:c r="A52" s="15" t="n"/>
      <x:c r="B52" s="15" t="n"/>
      <x:c r="C52" s="15" t="n"/>
      <x:c r="D52" s="15" t="n"/>
      <x:c r="E52" s="15" t="n"/>
      <x:c r="F52" s="15" t="n"/>
      <x:c r="G52" s="15" t="n"/>
    </x:row>
    <x:row r="53">
      <x:c r="A53" s="15" t="n"/>
      <x:c r="B53" s="15" t="n"/>
      <x:c r="C53" s="15" t="n"/>
      <x:c r="D53" s="15" t="n"/>
      <x:c r="E53" s="15" t="n"/>
      <x:c r="F53" s="15" t="n"/>
      <x:c r="G53" s="15" t="n"/>
    </x:row>
    <x:row r="54">
      <x:c r="A54" s="15" t="n"/>
      <x:c r="B54" s="15" t="n"/>
      <x:c r="C54" s="15" t="n"/>
      <x:c r="D54" s="15" t="n"/>
      <x:c r="E54" s="15" t="n"/>
      <x:c r="F54" s="15" t="n"/>
      <x:c r="G54" s="15" t="n"/>
    </x:row>
    <x:row r="55">
      <x:c r="A55" s="15" t="n"/>
      <x:c r="B55" s="15" t="n"/>
      <x:c r="C55" s="15" t="n"/>
      <x:c r="D55" s="15" t="n"/>
      <x:c r="E55" s="15" t="n"/>
      <x:c r="F55" s="15" t="n"/>
      <x:c r="G55" s="15" t="n"/>
    </x:row>
    <x:row r="56">
      <x:c r="A56" s="15" t="n"/>
      <x:c r="B56" s="15" t="n"/>
      <x:c r="C56" s="15" t="n"/>
      <x:c r="D56" s="15" t="n"/>
      <x:c r="E56" s="15" t="n"/>
      <x:c r="F56" s="15" t="n"/>
      <x:c r="G56" s="15" t="n"/>
    </x:row>
    <x:row r="57">
      <x:c r="A57" s="15" t="n"/>
      <x:c r="B57" s="15" t="n"/>
      <x:c r="C57" s="15" t="n"/>
      <x:c r="D57" s="15" t="n"/>
      <x:c r="E57" s="15" t="n"/>
      <x:c r="F57" s="15" t="n"/>
      <x:c r="G57" s="15" t="n"/>
    </x:row>
    <x:row r="58">
      <x:c r="A58" s="15" t="n"/>
      <x:c r="B58" s="15" t="n"/>
      <x:c r="C58" s="15" t="n"/>
      <x:c r="D58" s="15" t="n"/>
      <x:c r="E58" s="15" t="n"/>
      <x:c r="F58" s="15" t="n"/>
      <x:c r="G58" s="15" t="n"/>
    </x:row>
    <x:row r="59">
      <x:c r="A59" s="15" t="n"/>
      <x:c r="B59" s="15" t="n"/>
      <x:c r="C59" s="15" t="n"/>
      <x:c r="D59" s="15" t="n"/>
      <x:c r="E59" s="15" t="n"/>
      <x:c r="F59" s="15" t="n"/>
      <x:c r="G59" s="15" t="n"/>
    </x:row>
    <x:row r="60">
      <x:c r="A60" s="15" t="n"/>
      <x:c r="B60" s="15" t="n"/>
      <x:c r="C60" s="15" t="n"/>
      <x:c r="D60" s="15" t="n"/>
      <x:c r="E60" s="15" t="n"/>
      <x:c r="F60" s="15" t="n"/>
      <x:c r="G60" s="15" t="n"/>
    </x:row>
    <x:row r="61">
      <x:c r="A61" s="15" t="n"/>
      <x:c r="B61" s="15" t="n"/>
      <x:c r="C61" s="15" t="n"/>
      <x:c r="D61" s="15" t="n"/>
      <x:c r="E61" s="15" t="n"/>
      <x:c r="F61" s="15" t="n"/>
      <x:c r="G61" s="15" t="n"/>
    </x:row>
    <x:row r="62">
      <x:c r="A62" s="15" t="n"/>
      <x:c r="B62" s="15" t="n"/>
      <x:c r="C62" s="15" t="n"/>
      <x:c r="D62" s="15" t="n"/>
      <x:c r="E62" s="15" t="n"/>
      <x:c r="F62" s="15" t="n"/>
      <x:c r="G62" s="15" t="n"/>
    </x:row>
    <x:row r="63">
      <x:c r="A63" s="15" t="n"/>
      <x:c r="B63" s="15" t="n"/>
      <x:c r="C63" s="15" t="n"/>
      <x:c r="D63" s="15" t="n"/>
      <x:c r="E63" s="15" t="n"/>
      <x:c r="F63" s="15" t="n"/>
      <x:c r="G63" s="15" t="n"/>
    </x:row>
    <x:row r="64">
      <x:c r="A64" s="15" t="n"/>
      <x:c r="B64" s="15" t="n"/>
      <x:c r="C64" s="15" t="n"/>
      <x:c r="D64" s="15" t="n"/>
      <x:c r="E64" s="15" t="n"/>
      <x:c r="F64" s="15" t="n"/>
      <x:c r="G64" s="15" t="n"/>
    </x:row>
    <x:row r="65">
      <x:c r="A65" s="15" t="n"/>
      <x:c r="B65" s="15" t="n"/>
      <x:c r="C65" s="15" t="n"/>
      <x:c r="D65" s="15" t="n"/>
      <x:c r="E65" s="15" t="n"/>
      <x:c r="F65" s="15" t="n"/>
      <x:c r="G65" s="15" t="n"/>
    </x:row>
    <x:row r="66">
      <x:c r="A66" s="15" t="n"/>
      <x:c r="B66" s="15" t="n"/>
      <x:c r="C66" s="15" t="n"/>
      <x:c r="D66" s="15" t="n"/>
      <x:c r="E66" s="15" t="n"/>
      <x:c r="F66" s="15" t="n"/>
      <x:c r="G66" s="15" t="n"/>
    </x:row>
    <x:row r="67">
      <x:c r="A67" s="15" t="n"/>
      <x:c r="B67" s="15" t="n"/>
      <x:c r="C67" s="15" t="n"/>
      <x:c r="D67" s="15" t="n"/>
      <x:c r="E67" s="15" t="n"/>
      <x:c r="F67" s="15" t="n"/>
      <x:c r="G67" s="15" t="n"/>
    </x:row>
    <x:row r="68">
      <x:c r="A68" s="15" t="n"/>
      <x:c r="B68" s="15" t="n"/>
      <x:c r="C68" s="15" t="n"/>
      <x:c r="D68" s="15" t="n"/>
      <x:c r="E68" s="15" t="n"/>
      <x:c r="F68" s="15" t="n"/>
      <x:c r="G68" s="15" t="n"/>
    </x:row>
    <x:row r="69">
      <x:c r="A69" s="15" t="n"/>
      <x:c r="B69" s="15" t="n"/>
      <x:c r="C69" s="15" t="n"/>
      <x:c r="D69" s="15" t="n"/>
      <x:c r="E69" s="15" t="n"/>
      <x:c r="F69" s="15" t="n"/>
      <x:c r="G69" s="15" t="n"/>
    </x:row>
    <x:row r="70">
      <x:c r="A70" s="15" t="n"/>
      <x:c r="B70" s="15" t="n"/>
      <x:c r="C70" s="15" t="n"/>
      <x:c r="D70" s="15" t="n"/>
      <x:c r="E70" s="15" t="n"/>
      <x:c r="F70" s="15" t="n"/>
      <x:c r="G70" s="15" t="n"/>
    </x:row>
    <x:row r="71">
      <x:c r="A71" s="15" t="n"/>
      <x:c r="B71" s="15" t="n"/>
      <x:c r="C71" s="15" t="n"/>
      <x:c r="D71" s="15" t="n"/>
      <x:c r="E71" s="15" t="n"/>
      <x:c r="F71" s="15" t="n"/>
      <x:c r="G71" s="15" t="n"/>
    </x:row>
    <x:row r="72">
      <x:c r="A72" s="15" t="n"/>
      <x:c r="B72" s="15" t="n"/>
      <x:c r="C72" s="15" t="n"/>
      <x:c r="D72" s="15" t="n"/>
      <x:c r="E72" s="15" t="n"/>
      <x:c r="F72" s="15" t="n"/>
      <x:c r="G72" s="15" t="n"/>
    </x:row>
    <x:row r="73">
      <x:c r="A73" s="15" t="n"/>
      <x:c r="B73" s="15" t="n"/>
      <x:c r="C73" s="15" t="n"/>
      <x:c r="D73" s="15" t="n"/>
      <x:c r="E73" s="15" t="n"/>
      <x:c r="F73" s="15" t="n"/>
      <x:c r="G73" s="15" t="n"/>
    </x:row>
    <x:row r="74">
      <x:c r="A74" s="15" t="n"/>
      <x:c r="B74" s="15" t="n"/>
      <x:c r="C74" s="15" t="n"/>
      <x:c r="D74" s="15" t="n"/>
      <x:c r="E74" s="15" t="n"/>
      <x:c r="F74" s="15" t="n"/>
      <x:c r="G74" s="15" t="n"/>
    </x:row>
    <x:row r="75">
      <x:c r="A75" s="15" t="n"/>
      <x:c r="B75" s="15" t="n"/>
      <x:c r="C75" s="15" t="n"/>
      <x:c r="D75" s="15" t="n"/>
      <x:c r="E75" s="15" t="n"/>
      <x:c r="F75" s="15" t="n"/>
      <x:c r="G75" s="15" t="n"/>
    </x:row>
    <x:row r="76">
      <x:c r="A76" s="15" t="n"/>
      <x:c r="B76" s="15" t="n"/>
      <x:c r="C76" s="15" t="n"/>
      <x:c r="D76" s="15" t="n"/>
      <x:c r="E76" s="15" t="n"/>
      <x:c r="F76" s="15" t="n"/>
      <x:c r="G76" s="15" t="n"/>
    </x:row>
    <x:row r="77">
      <x:c r="A77" s="15" t="n"/>
      <x:c r="B77" s="15" t="n"/>
      <x:c r="C77" s="15" t="n"/>
      <x:c r="D77" s="15" t="n"/>
      <x:c r="E77" s="15" t="n"/>
      <x:c r="F77" s="15" t="n"/>
      <x:c r="G77" s="15" t="n"/>
    </x:row>
    <x:row r="78">
      <x:c r="A78" s="15" t="n"/>
      <x:c r="B78" s="15" t="n"/>
      <x:c r="C78" s="15" t="n"/>
      <x:c r="D78" s="15" t="n"/>
      <x:c r="E78" s="15" t="n"/>
      <x:c r="F78" s="15" t="n"/>
      <x:c r="G78" s="15" t="n"/>
    </x:row>
    <x:row r="79">
      <x:c r="A79" s="15" t="n"/>
      <x:c r="B79" s="15" t="n"/>
      <x:c r="C79" s="15" t="n"/>
      <x:c r="D79" s="15" t="n"/>
      <x:c r="E79" s="15" t="n"/>
      <x:c r="F79" s="15" t="n"/>
      <x:c r="G79" s="15" t="n"/>
    </x:row>
    <x:row r="80">
      <x:c r="A80" s="15" t="n"/>
      <x:c r="B80" s="15" t="n"/>
      <x:c r="C80" s="15" t="n"/>
      <x:c r="D80" s="15" t="n"/>
      <x:c r="E80" s="15" t="n"/>
      <x:c r="F80" s="15" t="n"/>
      <x:c r="G80" s="15" t="n"/>
    </x:row>
    <x:row r="81">
      <x:c r="A81" s="15" t="n"/>
      <x:c r="B81" s="15" t="n"/>
      <x:c r="C81" s="15" t="n"/>
      <x:c r="D81" s="15" t="n"/>
      <x:c r="E81" s="15" t="n"/>
      <x:c r="F81" s="15" t="n"/>
      <x:c r="G81" s="15" t="n"/>
    </x:row>
    <x:row r="82">
      <x:c r="A82" s="15" t="n"/>
      <x:c r="B82" s="15" t="n"/>
      <x:c r="C82" s="15" t="n"/>
      <x:c r="D82" s="15" t="n"/>
      <x:c r="E82" s="15" t="n"/>
      <x:c r="F82" s="15" t="n"/>
      <x:c r="G82" s="15" t="n"/>
    </x:row>
    <x:row r="83">
      <x:c r="A83" s="15" t="n"/>
      <x:c r="B83" s="15" t="n"/>
      <x:c r="C83" s="15" t="n"/>
      <x:c r="D83" s="15" t="n"/>
      <x:c r="E83" s="15" t="n"/>
      <x:c r="F83" s="15" t="n"/>
      <x:c r="G83" s="15" t="n"/>
    </x:row>
    <x:row r="84">
      <x:c r="A84" s="15" t="n"/>
      <x:c r="B84" s="15" t="n"/>
      <x:c r="C84" s="15" t="n"/>
      <x:c r="D84" s="15" t="n"/>
      <x:c r="E84" s="15" t="n"/>
      <x:c r="F84" s="15" t="n"/>
      <x:c r="G84" s="15" t="n"/>
    </x:row>
    <x:row r="85">
      <x:c r="A85" s="15" t="n"/>
      <x:c r="B85" s="15" t="n"/>
      <x:c r="C85" s="15" t="n"/>
      <x:c r="D85" s="15" t="n"/>
      <x:c r="E85" s="15" t="n"/>
      <x:c r="F85" s="15" t="n"/>
      <x:c r="G85" s="15" t="n"/>
    </x:row>
    <x:row r="86">
      <x:c r="A86" s="15" t="n"/>
      <x:c r="B86" s="15" t="n"/>
      <x:c r="C86" s="15" t="n"/>
      <x:c r="D86" s="15" t="n"/>
      <x:c r="E86" s="15" t="n"/>
      <x:c r="F86" s="15" t="n"/>
      <x:c r="G86" s="15" t="n"/>
    </x:row>
    <x:row r="87">
      <x:c r="A87" s="15" t="n"/>
      <x:c r="B87" s="15" t="n"/>
      <x:c r="C87" s="15" t="n"/>
      <x:c r="D87" s="15" t="n"/>
      <x:c r="E87" s="15" t="n"/>
      <x:c r="F87" s="15" t="n"/>
      <x:c r="G87" s="15" t="n"/>
    </x:row>
    <x:row r="88">
      <x:c r="A88" s="15" t="n"/>
      <x:c r="B88" s="15" t="n"/>
      <x:c r="C88" s="15" t="n"/>
      <x:c r="D88" s="15" t="n"/>
      <x:c r="E88" s="15" t="n"/>
      <x:c r="F88" s="15" t="n"/>
      <x:c r="G88" s="15" t="n"/>
    </x:row>
    <x:row r="89">
      <x:c r="A89" s="15" t="n"/>
      <x:c r="B89" s="15" t="n"/>
      <x:c r="C89" s="15" t="n"/>
      <x:c r="D89" s="15" t="n"/>
      <x:c r="E89" s="15" t="n"/>
      <x:c r="F89" s="15" t="n"/>
      <x:c r="G89" s="15" t="n"/>
    </x:row>
    <x:row r="90">
      <x:c r="A90" s="15" t="n"/>
      <x:c r="B90" s="15" t="n"/>
      <x:c r="C90" s="15" t="n"/>
      <x:c r="D90" s="15" t="n"/>
      <x:c r="E90" s="15" t="n"/>
      <x:c r="F90" s="15" t="n"/>
      <x:c r="G90" s="15" t="n"/>
    </x:row>
    <x:row r="91">
      <x:c r="A91" s="15" t="n"/>
      <x:c r="B91" s="15" t="n"/>
      <x:c r="C91" s="15" t="n"/>
      <x:c r="D91" s="15" t="n"/>
      <x:c r="E91" s="15" t="n"/>
      <x:c r="F91" s="15" t="n"/>
      <x:c r="G91" s="15" t="n"/>
    </x:row>
    <x:row r="92">
      <x:c r="A92" s="15" t="n"/>
      <x:c r="B92" s="15" t="n"/>
      <x:c r="C92" s="15" t="n"/>
      <x:c r="D92" s="15" t="n"/>
      <x:c r="E92" s="15" t="n"/>
      <x:c r="F92" s="15" t="n"/>
      <x:c r="G92" s="15" t="n"/>
    </x:row>
    <x:row r="93">
      <x:c r="A93" s="15" t="n"/>
      <x:c r="B93" s="15" t="n"/>
      <x:c r="C93" s="15" t="n"/>
      <x:c r="D93" s="15" t="n"/>
      <x:c r="E93" s="15" t="n"/>
      <x:c r="F93" s="15" t="n"/>
      <x:c r="G93" s="15" t="n"/>
    </x:row>
    <x:row r="94">
      <x:c r="A94" s="15" t="n"/>
      <x:c r="B94" s="15" t="n"/>
      <x:c r="C94" s="15" t="n"/>
      <x:c r="D94" s="15" t="n"/>
      <x:c r="E94" s="15" t="n"/>
      <x:c r="F94" s="15" t="n"/>
      <x:c r="G94" s="15" t="n"/>
    </x:row>
    <x:row r="95">
      <x:c r="A95" s="15" t="n"/>
      <x:c r="B95" s="15" t="n"/>
      <x:c r="C95" s="15" t="n"/>
      <x:c r="D95" s="15" t="n"/>
      <x:c r="E95" s="15" t="n"/>
      <x:c r="F95" s="15" t="n"/>
      <x:c r="G95" s="15" t="n"/>
    </x:row>
    <x:row r="96">
      <x:c r="A96" s="15" t="n"/>
      <x:c r="B96" s="15" t="n"/>
      <x:c r="C96" s="15" t="n"/>
      <x:c r="D96" s="15" t="n"/>
      <x:c r="E96" s="15" t="n"/>
      <x:c r="F96" s="15" t="n"/>
      <x:c r="G96" s="15" t="n"/>
    </x:row>
    <x:row r="97">
      <x:c r="A97" s="15" t="n"/>
      <x:c r="B97" s="15" t="n"/>
      <x:c r="C97" s="15" t="n"/>
      <x:c r="D97" s="15" t="n"/>
      <x:c r="E97" s="15" t="n"/>
      <x:c r="F97" s="15" t="n"/>
      <x:c r="G97" s="15" t="n"/>
    </x:row>
    <x:row r="98">
      <x:c r="A98" s="15" t="n"/>
      <x:c r="B98" s="15" t="n"/>
      <x:c r="C98" s="15" t="n"/>
      <x:c r="D98" s="15" t="n"/>
      <x:c r="E98" s="15" t="n"/>
      <x:c r="F98" s="15" t="n"/>
      <x:c r="G98" s="15" t="n"/>
    </x:row>
    <x:row r="99">
      <x:c r="A99" s="15" t="n"/>
      <x:c r="B99" s="15" t="n"/>
      <x:c r="C99" s="15" t="n"/>
      <x:c r="D99" s="15" t="n"/>
      <x:c r="E99" s="15" t="n"/>
      <x:c r="F99" s="15" t="n"/>
      <x:c r="G99" s="15" t="n"/>
    </x:row>
    <x:row r="100">
      <x:c r="A100" s="15" t="n"/>
      <x:c r="B100" s="15" t="n"/>
      <x:c r="C100" s="15" t="n"/>
      <x:c r="D100" s="15" t="n"/>
      <x:c r="E100" s="15" t="n"/>
      <x:c r="F100" s="15" t="n"/>
      <x:c r="G100" s="15" t="n"/>
    </x:row>
  </x:sheetData>
  <x:pageMargins left="0.7" right="0.7" top="0.75" bottom="0.75" header="0.3" footer="0.3"/>
  <x:tableParts count="1">
    <x:tablePart xmlns:r="http://schemas.openxmlformats.org/officeDocument/2006/relationships" r:id="Raa2785c1952946f5"/>
  </x:tableParts>
</x:worksheet>
</file>

<file path=xl/worksheets/sheet6.xml><?xml version="1.0" encoding="utf-8"?>
<x:worksheet xmlns:x="http://schemas.openxmlformats.org/spreadsheetml/2006/main">
  <x:sheetFormatPr baseColWidth="8" defaultRowHeight="15"/>
  <x:cols>
    <x:col min="1" max="1" width="24" style="1" customWidth="1"/>
    <x:col min="2" max="2" width="72" style="1" customWidth="1"/>
  </x:cols>
  <x:sheetData>
    <x:row r="1">
      <x:c r="A1" s="8" t="inlineStr">
        <x:is>
          <x:t xml:space="preserve">Purpose</x:t>
        </x:is>
      </x:c>
      <x:c r="B1" s="8" t="inlineStr">
        <x:is>
          <x:t xml:space="preserve">How to use this workbook</x:t>
        </x:is>
      </x:c>
    </x:row>
    <x:row r="2">
      <x:c r="A2" t="inlineStr">
        <x:is>
          <x:t xml:space="preserve">Master Schedule</x:t>
        </x:is>
      </x:c>
      <x:c r="B2" t="inlineStr">
        <x:is>
          <x:t xml:space="preserve">Edit this tab only. All calendar tabs pull from it using formulas.</x:t>
        </x:is>
      </x:c>
    </x:row>
    <x:row r="3">
      <x:c r="A3" t="inlineStr">
        <x:is>
          <x:t xml:space="preserve">Scientific Question</x:t>
        </x:is>
      </x:c>
      <x:c r="B3" t="inlineStr">
        <x:is>
          <x:t xml:space="preserve">This column keeps the chapter story visible to students and instructors.</x:t>
        </x:is>
      </x:c>
    </x:row>
    <x:row r="4">
      <x:c r="A4" t="inlineStr">
        <x:is>
          <x:t xml:space="preserve">Learning Objectives</x:t>
        </x:is>
      </x:c>
      <x:c r="B4" t="inlineStr">
        <x:is>
          <x:t xml:space="preserve">Chapter-by-chapter objectives are stored in the Learning Objectives tab.</x:t>
        </x:is>
      </x:c>
    </x:row>
    <x:row r="5">
      <x:c r="A5" t="inlineStr">
        <x:is>
          <x:t xml:space="preserve">Student Protection</x:t>
        </x:is>
      </x:c>
      <x:c r="B5" t="inlineStr">
        <x:is>
          <x:t xml:space="preserve">In Google Sheets, share the workbook with students as Viewer, not Editor.</x:t>
        </x:is>
      </x:c>
    </x:row>
    <x:row r="6">
      <x:c r="A6" t="inlineStr">
        <x:is>
          <x:t xml:space="preserve">Protect Tabs</x:t>
        </x:is>
      </x:c>
      <x:c r="B6" t="inlineStr">
        <x:is>
          <x:t xml:space="preserve">Right-click a tab → Protect sheet → Set permissions → Only you. Protect Master Schedule if TAs/students have edit access.</x:t>
        </x:is>
      </x:c>
    </x:row>
    <x:row r="7">
      <x:c r="A7" t="inlineStr">
        <x:is>
          <x:t xml:space="preserve">Hide Instructor Tabs</x:t>
        </x:is>
      </x:c>
      <x:c r="B7" t="inlineStr">
        <x:is>
          <x:t xml:space="preserve">Right-click instructor-only tabs → Hide sheet. Viewers cannot unhide tabs.</x:t>
        </x:is>
      </x:c>
    </x:row>
    <x:row r="8">
      <x:c r="A8" t="inlineStr">
        <x:is>
          <x:t xml:space="preserve">IMPORTRANGE option</x:t>
        </x:is>
      </x:c>
      <x:c r="B8" t="inlineStr">
        <x:is>
          <x:t xml:space="preserve">If you later want a separate student-facing file, use IMPORTRANGE to pull only Weekly Calendar or Student Calendar from this instructor workbook.</x:t>
        </x:is>
      </x:c>
    </x:row>
    <x:row r="9">
      <x:c r="A9" t="inlineStr">
        <x:is>
          <x:t xml:space="preserve">Example IMPORTRANGE formula</x:t>
        </x:is>
      </x:c>
      <x:c r="B9" t="inlineStr">
        <x:is>
          <x:t xml:space="preserve">=IMPORTRANGE("PASTE_INSTRUCTOR_FILE_URL_HERE","Student Calendar!A1:I100")</x:t>
        </x:is>
      </x:c>
    </x:row>
    <x:row r="10">
      <x:c r="A10" t="inlineStr">
        <x:is>
          <x:t xml:space="preserve">Best sharing workflow</x:t>
        </x:is>
      </x:c>
      <x:c r="B10" t="inlineStr">
        <x:is>
          <x:t xml:space="preserve">Keep this instructor workbook editable only by you/TAs. Share a view-only link with students or create a separate student file using IMPORTRANGE.</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10" style="1" customWidth="1"/>
  </x:cols>
  <x:sheetData>
    <x:row r="1">
      <x:c r="A1" s="15" t="inlineStr">
        <x:is>
          <x:t xml:space="preserve">function onOpen() {
  SpreadsheetApp.getUi()
    .createMenu('CHEM214 Calendar')
    .addItem('Go to Master Schedule', 'goToMasterSchedule')
    .addItem('Go to Student Calendar', 'goToStudentCalendar')
    .addToUi();
}
function goToMasterSchedule() {
  const ss = SpreadsheetApp.getActiveSpreadsheet();
  ss.setActiveSheet(ss.getSheetByName('Master Schedule'));
}
function goToStudentCalendar() {
  const ss = SpreadsheetApp.getActiveSpreadsheet();
  ss.setActiveSheet(ss.getSheetByName('Student Calendar'));
}
// Optional: run this once in Google Sheets to protect instructor tabs.
// Replace or remove tab names as needed.
function protectInstructorTabs() {
  const ss = SpreadsheetApp.getActiveSpreadsheet();
  const tabs = ['Master Schedule', 'Learning Objectives', 'Setup + Instructions', 'Apps Script'];
  tabs.forEach(name =&gt; {
    const sheet = ss.getSheetByName(name);
    if (!sheet) return;
    const protection = sheet.protect().setDescription('Instructor-only tab');
    protection.removeEditors(protection.getEditors());
    if (protection.canDomainEdit()) protection.setDomainEdit(false);
  });
}
</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8" hidden="0" customWidth="1"/>
    <x:col min="2" max="2" width="10" hidden="0" customWidth="1"/>
    <x:col min="3" max="3" width="36" hidden="0" customWidth="1"/>
    <x:col min="4" max="4" width="36" hidden="0" customWidth="1"/>
    <x:col min="5" max="5" width="24" hidden="0" customWidth="1"/>
    <x:col min="6" max="6" width="34" hidden="0" customWidth="1"/>
    <x:col min="7" max="7" width="34" hidden="0" customWidth="1"/>
    <x:col min="8" max="8" width="48" hidden="0" customWidth="1"/>
  </x:cols>
  <x:sheetData>
    <x:row r="1">
      <x:c r="A1" s="58" t="str">
        <x:v>Molecular Exploration Notebook - Canvas / Qualtrics Workflow</x:v>
      </x:c>
      <x:c r="B1" s="58"/>
      <x:c r="C1" s="58"/>
      <x:c r="D1" s="58"/>
      <x:c r="E1" s="58"/>
      <x:c r="F1" s="58"/>
      <x:c r="G1" s="58"/>
      <x:c r="H1" s="58"/>
    </x:row>
    <x:row r="2">
      <x:c r="A2" s="61" t="str">
        <x:v>Students complete one short notebook entry per week using the Biochemistry Visual Atlas. Build each entry as a Canvas New Quiz or Qualtrics survey: one screenshot upload, short caption, guided observations, concise structure-function reasoning, and confidence/difficulty/usefulness ratings. The detailed build map is on the Canvas / Qualtrics Build Plan tab.</x:v>
      </x:c>
      <x:c r="B2" s="61"/>
      <x:c r="C2" s="61"/>
      <x:c r="D2" s="61"/>
      <x:c r="E2" s="61"/>
      <x:c r="F2" s="61"/>
      <x:c r="G2" s="61"/>
      <x:c r="H2" s="61"/>
    </x:row>
    <x:row r="3">
      <x:c r="A3" s="61"/>
      <x:c r="B3" s="61"/>
      <x:c r="C3" s="61"/>
      <x:c r="D3" s="61"/>
      <x:c r="E3" s="61"/>
      <x:c r="F3" s="61"/>
      <x:c r="G3" s="61"/>
      <x:c r="H3" s="61"/>
    </x:row>
    <x:row r="4">
      <x:c r="A4"/>
    </x:row>
    <x:row r="5">
      <x:c r="A5" s="49" t="str">
        <x:v>Entry</x:v>
      </x:c>
      <x:c r="B5" s="49" t="str">
        <x:v>Due week</x:v>
      </x:c>
      <x:c r="C5" s="49" t="str">
        <x:v>Scientific Question</x:v>
      </x:c>
      <x:c r="D5" s="49" t="str">
        <x:v>Chapter alignment</x:v>
      </x:c>
      <x:c r="E5" s="49" t="str">
        <x:v>Atlas / Notebook Focus</x:v>
      </x:c>
      <x:c r="F5" s="49" t="str">
        <x:v>Canvas assignment name</x:v>
      </x:c>
      <x:c r="G5" s="49" t="str">
        <x:v>Qualtrics survey name</x:v>
      </x:c>
      <x:c r="H5" s="49" t="str">
        <x:v>Student task</x:v>
      </x:c>
    </x:row>
    <x:row r="6" ht="72" customHeight="1">
      <x:c r="A6" s="52" t="n">
        <x:v>1</x:v>
      </x:c>
      <x:c r="B6" s="52" t="n">
        <x:v>1</x:v>
      </x:c>
      <x:c r="C6" s="52" t="str">
        <x:v>How does chemistry give rise to biological structure?</x:v>
      </x:c>
      <x:c r="D6" s="52" t="str">
        <x:v>Chapters 1-4: biochemistry themes, water, amino acids, protein structure</x:v>
      </x:c>
      <x:c r="E6" s="52" t="str">
        <x:v>Structure Begins with Chemistry</x:v>
      </x:c>
      <x:c r="F6" s="52" t="str">
        <x:v>CHEM214 MEN 01 - Structure Begins with Chemistry</x:v>
      </x:c>
      <x:c r="G6" s="52" t="str">
        <x:v>CHEM214_MEN_01_structure_begins_with_chemistry</x:v>
      </x:c>
      <x:c r="H6" s="52" t="str">
        <x:v>Choose a protein from the Atlas. Identify protein name, class, function, one ionizable residue, one structural feature, and explain how structure supports function.</x:v>
      </x:c>
    </x:row>
    <x:row r="7" ht="72" customHeight="1">
      <x:c r="A7" s="52" t="n">
        <x:v>2</x:v>
      </x:c>
      <x:c r="B7" s="52" t="n">
        <x:v>2</x:v>
      </x:c>
      <x:c r="C7" s="52" t="str">
        <x:v>How do proteins recognize molecules and catalyze chemical reactions?</x:v>
      </x:c>
      <x:c r="D7" s="52" t="str">
        <x:v>Chapters 5-6: protein function, ligand binding, enzymes, catalysis</x:v>
      </x:c>
      <x:c r="E7" s="52" t="str">
        <x:v>Recognition and Catalysis</x:v>
      </x:c>
      <x:c r="F7" s="52" t="str">
        <x:v>CHEM214 MEN 02 - Recognition and Catalysis</x:v>
      </x:c>
      <x:c r="G7" s="52" t="str">
        <x:v>CHEM214_MEN_02_recognition_and_catalysis</x:v>
      </x:c>
      <x:c r="H7" s="52" t="str">
        <x:v>Investigate a ligand, active site, cofactor, or catalytic residue. Describe molecular recognition and connect structure to catalysis.</x:v>
      </x:c>
    </x:row>
    <x:row r="8" ht="72" customHeight="1">
      <x:c r="A8" s="52" t="n">
        <x:v>3</x:v>
      </x:c>
      <x:c r="B8" s="52" t="n">
        <x:v>3</x:v>
      </x:c>
      <x:c r="C8" s="52" t="str">
        <x:v>How do cells organize molecules into functional systems?</x:v>
      </x:c>
      <x:c r="D8" s="52" t="str">
        <x:v>Chapters 7-8, 13: carbohydrates, membranes, transport, signaling, metabolism overview</x:v>
      </x:c>
      <x:c r="E8" s="52" t="str">
        <x:v>Molecules in Systems</x:v>
      </x:c>
      <x:c r="F8" s="52" t="str">
        <x:v>CHEM214 MEN 03 - Molecules in Systems</x:v>
      </x:c>
      <x:c r="G8" s="52" t="str">
        <x:v>CHEM214_MEN_03_molecules_in_systems</x:v>
      </x:c>
      <x:c r="H8" s="52" t="str">
        <x:v>Investigate a protein involved in cellular organization, membrane biology, transport, signaling, or metabolic regulation.</x:v>
      </x:c>
    </x:row>
    <x:row r="9" ht="72" customHeight="1">
      <x:c r="A9" s="52" t="n">
        <x:v>4</x:v>
      </x:c>
      <x:c r="B9" s="52" t="n">
        <x:v>4</x:v>
      </x:c>
      <x:c r="C9" s="52" t="str">
        <x:v>How does molecular structure explain energy metabolism?</x:v>
      </x:c>
      <x:c r="D9" s="52" t="str">
        <x:v>Chapters 14, 16, 19: glycolysis, citric acid cycle, oxidative phosphorylation</x:v>
      </x:c>
      <x:c r="E9" s="52" t="str">
        <x:v>Structure Explains Metabolism</x:v>
      </x:c>
      <x:c r="F9" s="52" t="str">
        <x:v>CHEM214 MEN 04 - Structure Explains Metabolism</x:v>
      </x:c>
      <x:c r="G9" s="52" t="str">
        <x:v>CHEM214_MEN_04_structure_explains_metabolism</x:v>
      </x:c>
      <x:c r="H9" s="52" t="str">
        <x:v>Investigate one metabolic enzyme and explain how its structure supports its function in metabolism.</x:v>
      </x:c>
    </x:row>
    <x:row r="10">
      <x:c r="A10"/>
      <x:c r="B10"/>
      <x:c r="C10"/>
      <x:c r="D10"/>
      <x:c r="E10"/>
      <x:c r="F10"/>
    </x:row>
    <x:row r="11">
      <x:c r="A11" s="66" t="str">
        <x:v>Reusable submission components</x:v>
      </x:c>
      <x:c r="B11" s="66"/>
      <x:c r="C11" s="66"/>
      <x:c r="D11" s="66"/>
      <x:c r="E11" s="66"/>
      <x:c r="F11" s="66"/>
      <x:c r="G11" s="66"/>
      <x:c r="H11" s="66"/>
    </x:row>
    <x:row r="12" ht="38" customHeight="1">
      <x:c r="A12" s="68" t="str">
        <x:v>Screenshot upload</x:v>
      </x:c>
      <x:c r="B12" s="52" t="str">
        <x:v>One image from the Atlas that supports the observation.</x:v>
      </x:c>
      <x:c r="C12" s="52" t="str"/>
      <x:c r="D12" s="52" t="str"/>
      <x:c r="E12" s="52" t="str"/>
      <x:c r="F12" s="52" t="str"/>
      <x:c r="G12" s="52" t="str"/>
      <x:c r="H12" s="52" t="str"/>
    </x:row>
    <x:row r="13" ht="38" customHeight="1">
      <x:c r="A13" s="68" t="str">
        <x:v>Caption</x:v>
      </x:c>
      <x:c r="B13" s="52" t="str">
        <x:v>One sentence, 15-35 words.</x:v>
      </x:c>
      <x:c r="C13" s="52" t="str"/>
      <x:c r="D13" s="52" t="str"/>
      <x:c r="E13" s="52" t="str"/>
      <x:c r="F13" s="52" t="str"/>
      <x:c r="G13" s="52" t="str"/>
      <x:c r="H13" s="52" t="str"/>
    </x:row>
    <x:row r="14" ht="38" customHeight="1">
      <x:c r="A14" s="68" t="str">
        <x:v>Guided observations</x:v>
      </x:c>
      <x:c r="B14" s="52" t="str">
        <x:v>Short structured fields; avoid long-form writing.</x:v>
      </x:c>
      <x:c r="C14" s="52" t="str"/>
      <x:c r="D14" s="52" t="str"/>
      <x:c r="E14" s="52" t="str"/>
      <x:c r="F14" s="52" t="str"/>
      <x:c r="G14" s="52" t="str"/>
      <x:c r="H14" s="52" t="str"/>
    </x:row>
    <x:row r="15" ht="38" customHeight="1">
      <x:c r="A15" s="68" t="str">
        <x:v>Structure-function reasoning</x:v>
      </x:c>
      <x:c r="B15" s="52" t="str">
        <x:v>One concise claim, evidence statement, and limitation/uncertainty.</x:v>
      </x:c>
      <x:c r="C15" s="52" t="str"/>
      <x:c r="D15" s="52" t="str"/>
      <x:c r="E15" s="52" t="str"/>
      <x:c r="F15" s="52" t="str"/>
      <x:c r="G15" s="52" t="str"/>
      <x:c r="H15" s="52" t="str"/>
    </x:row>
    <x:row r="16" ht="38" customHeight="1">
      <x:c r="A16" s="68" t="str">
        <x:v>Learning analytics</x:v>
      </x:c>
      <x:c r="B16" s="52" t="str">
        <x:v>Confidence, difficulty, usefulness, time on task, and muddiest point.</x:v>
      </x:c>
      <x:c r="C16" s="52" t="str"/>
      <x:c r="D16" s="52" t="str"/>
      <x:c r="E16" s="52" t="str"/>
      <x:c r="F16" s="52" t="str"/>
      <x:c r="G16" s="52" t="str"/>
      <x:c r="H16" s="52" t="str"/>
    </x:row>
    <x:row r="17">
      <x:c r="A17"/>
    </x:row>
    <x:row r="18" ht="58" customHeight="1">
      <x:c r="A18" s="77" t="str">
        <x:v>Instructor build note: The notebook is no longer a PDF-upload workflow. Use Canvas New Quizzes or Qualtrics to collect structured responses and one screenshot per entry. Use the Build Plan tab for exact question text, point values, grading mode, and Qualtrics variable names.</x:v>
      </x:c>
      <x:c r="B18" s="78"/>
      <x:c r="C18" s="78"/>
      <x:c r="D18" s="78"/>
      <x:c r="E18" s="78"/>
      <x:c r="F18" s="78"/>
      <x:c r="G18" s="78"/>
      <x:c r="H18" s="79"/>
    </x:row>
    <x:row r="19">
      <x:c r="A19"/>
    </x:row>
    <x:row r="20">
      <x:c r="A20"/>
    </x:row>
    <x:row r="21">
      <x:c r="A21"/>
    </x:row>
    <x:row r="22">
      <x:c r="A22"/>
    </x:row>
  </x:sheetData>
  <x:mergeCells>
    <x:mergeCell ref="A1:H1"/>
    <x:mergeCell ref="A2:H3"/>
    <x:mergeCell ref="A11:H11"/>
    <x:mergeCell ref="B12:H12"/>
    <x:mergeCell ref="B13:H13"/>
    <x:mergeCell ref="B14:H14"/>
    <x:mergeCell ref="B15:H15"/>
    <x:mergeCell ref="B16:H16"/>
    <x:mergeCell ref="A18:H18"/>
  </x:mergeCells>
  <x:pageMargins left="0.7" right="0.7" top="0.75" bottom="0.75" header="0.3" footer="0.3"/>
  <x:tableParts count="1">
    <x:tablePart xmlns:r="http://schemas.openxmlformats.org/officeDocument/2006/relationships" r:id="Ra69f041e80ab4cc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4" hidden="0" customWidth="1"/>
    <x:col min="4" max="4" width="34" hidden="0" customWidth="1"/>
    <x:col min="5" max="5" width="34" hidden="0" customWidth="1"/>
    <x:col min="6" max="6" width="34" hidden="0" customWidth="1"/>
    <x:col min="7" max="7" width="48" hidden="0" customWidth="1"/>
    <x:col min="8" max="8" width="18" hidden="0" customWidth="1"/>
    <x:col min="9" max="9" width="12" hidden="0" customWidth="1"/>
    <x:col min="10" max="10" width="20" hidden="0" customWidth="1"/>
    <x:col min="11" max="11" width="28" hidden="0" customWidth="1"/>
    <x:col min="12" max="12" width="38" hidden="0" customWidth="1"/>
  </x:cols>
  <x:sheetData>
    <x:row r="1" ht="28" customHeight="1">
      <x:c r="A1" s="39" t="str">
        <x:v>Canvas / Qualtrics Build Plan</x:v>
      </x:c>
      <x:c r="B1" s="39"/>
      <x:c r="C1" s="39"/>
      <x:c r="D1" s="39"/>
      <x:c r="E1" s="39"/>
      <x:c r="F1" s="39"/>
      <x:c r="G1" s="39"/>
      <x:c r="H1" s="39"/>
      <x:c r="I1" s="39"/>
      <x:c r="J1" s="39"/>
      <x:c r="K1" s="39"/>
      <x:c r="L1" s="39"/>
    </x:row>
    <x:row r="2" ht="42" customHeight="1">
      <x:c r="A2" s="43" t="str">
        <x:v>Implementation-ready build map for the CHEM214 Molecular Exploration Notebook. Each row is one Canvas New Quiz / Qualtrics item. Reusable core items appear for every entry; entry-specific rows add the weekly investigation fields.</x:v>
      </x:c>
      <x:c r="B2" s="43"/>
      <x:c r="C2" s="43"/>
      <x:c r="D2" s="43"/>
      <x:c r="E2" s="43"/>
      <x:c r="F2" s="43"/>
      <x:c r="G2" s="43"/>
      <x:c r="H2" s="43"/>
      <x:c r="I2" s="43"/>
      <x:c r="J2" s="43"/>
      <x:c r="K2" s="43"/>
      <x:c r="L2" s="43"/>
    </x:row>
    <x:row r="4">
      <x:c r="A4" s="49" t="str">
        <x:v>Entry number</x:v>
      </x:c>
      <x:c r="B4" s="49" t="str">
        <x:v>Due week</x:v>
      </x:c>
      <x:c r="C4" s="49" t="str">
        <x:v>Scientific question</x:v>
      </x:c>
      <x:c r="D4" s="49" t="str">
        <x:v>Chapter alignment</x:v>
      </x:c>
      <x:c r="E4" s="49" t="str">
        <x:v>Canvas assignment name</x:v>
      </x:c>
      <x:c r="F4" s="49" t="str">
        <x:v>Qualtrics survey name</x:v>
      </x:c>
      <x:c r="G4" s="49" t="str">
        <x:v>Question text</x:v>
      </x:c>
      <x:c r="H4" s="49" t="str">
        <x:v>Question type</x:v>
      </x:c>
      <x:c r="I4" s="49" t="str">
        <x:v>Point value</x:v>
      </x:c>
      <x:c r="J4" s="49" t="str">
        <x:v>Grading mode</x:v>
      </x:c>
      <x:c r="K4" s="49" t="str">
        <x:v>Qualtrics variable name</x:v>
      </x:c>
      <x:c r="L4" s="49" t="str">
        <x:v>Notes for instructor</x:v>
      </x:c>
    </x:row>
    <x:row r="5" ht="58" customHeight="1">
      <x:c r="A5" s="52" t="n">
        <x:v>1</x:v>
      </x:c>
      <x:c r="B5" s="52" t="n">
        <x:v>1</x:v>
      </x:c>
      <x:c r="C5" s="52" t="str">
        <x:v>How does chemistry give rise to biological structure?</x:v>
      </x:c>
      <x:c r="D5" s="52" t="str">
        <x:v>Chapters 1-4: biochemistry themes, water, amino acids, protein structure</x:v>
      </x:c>
      <x:c r="E5" s="52" t="str">
        <x:v>CHEM214 MEN 01 - Structure Begins with Chemistry</x:v>
      </x:c>
      <x:c r="F5" s="52" t="str">
        <x:v>CHEM214_MEN_01_structure_begins_with_chemistry</x:v>
      </x:c>
      <x:c r="G5" s="52" t="str">
        <x:v>Which Molecular Exploration Notebook entry are you completing?</x:v>
      </x:c>
      <x:c r="H5" s="52" t="str">
        <x:v>Multiple choice</x:v>
      </x:c>
      <x:c r="I5" s="53" t="n">
        <x:v>0</x:v>
      </x:c>
      <x:c r="J5" s="52" t="str">
        <x:v>auto/completion</x:v>
      </x:c>
      <x:c r="K5" s="52" t="str">
        <x:v>entry_id</x:v>
      </x:c>
      <x:c r="L5" s="52" t="str">
        <x:v>Identifier only; use in Canvas and Qualtrics exports</x:v>
      </x:c>
    </x:row>
    <x:row r="6" ht="58" customHeight="1">
      <x:c r="A6" s="52" t="n">
        <x:v>1</x:v>
      </x:c>
      <x:c r="B6" s="52" t="n">
        <x:v>1</x:v>
      </x:c>
      <x:c r="C6" s="52" t="str">
        <x:v>How does chemistry give rise to biological structure?</x:v>
      </x:c>
      <x:c r="D6" s="52" t="str">
        <x:v>Chapters 1-4: biochemistry themes, water, amino acids, protein structure</x:v>
      </x:c>
      <x:c r="E6" s="52" t="str">
        <x:v>CHEM214 MEN 01 - Structure Begins with Chemistry</x:v>
      </x:c>
      <x:c r="F6" s="52" t="str">
        <x:v>CHEM214_MEN_01_structure_begins_with_chemistry</x:v>
      </x:c>
      <x:c r="G6" s="52" t="str">
        <x:v>Enter the protein, molecule, or structure name you explored.</x:v>
      </x:c>
      <x:c r="H6" s="52" t="str">
        <x:v>Short answer</x:v>
      </x:c>
      <x:c r="I6" s="53" t="n">
        <x:v>0.25</x:v>
      </x:c>
      <x:c r="J6" s="52" t="str">
        <x:v>completion</x:v>
      </x:c>
      <x:c r="K6" s="52" t="str">
        <x:v>protein_name</x:v>
      </x:c>
      <x:c r="L6" s="52" t="str">
        <x:v>Required short text</x:v>
      </x:c>
    </x:row>
    <x:row r="7" ht="58" customHeight="1">
      <x:c r="A7" s="52" t="n">
        <x:v>1</x:v>
      </x:c>
      <x:c r="B7" s="52" t="n">
        <x:v>1</x:v>
      </x:c>
      <x:c r="C7" s="52" t="str">
        <x:v>How does chemistry give rise to biological structure?</x:v>
      </x:c>
      <x:c r="D7" s="52" t="str">
        <x:v>Chapters 1-4: biochemistry themes, water, amino acids, protein structure</x:v>
      </x:c>
      <x:c r="E7" s="52" t="str">
        <x:v>CHEM214 MEN 01 - Structure Begins with Chemistry</x:v>
      </x:c>
      <x:c r="F7" s="52" t="str">
        <x:v>CHEM214_MEN_01_structure_begins_with_chemistry</x:v>
      </x:c>
      <x:c r="G7" s="52" t="str">
        <x:v>Enter the 4-character PDB ID used in the Atlas, if available.</x:v>
      </x:c>
      <x:c r="H7" s="52" t="str">
        <x:v>Short answer</x:v>
      </x:c>
      <x:c r="I7" s="53" t="n">
        <x:v>0.25</x:v>
      </x:c>
      <x:c r="J7" s="52" t="str">
        <x:v>completion</x:v>
      </x:c>
      <x:c r="K7" s="52" t="str">
        <x:v>pdb_id</x:v>
      </x:c>
      <x:c r="L7" s="52" t="str">
        <x:v>Validate as 4 alphanumeric characters when possible</x:v>
      </x:c>
    </x:row>
    <x:row r="8" ht="58" customHeight="1">
      <x:c r="A8" s="52" t="n">
        <x:v>1</x:v>
      </x:c>
      <x:c r="B8" s="52" t="n">
        <x:v>1</x:v>
      </x:c>
      <x:c r="C8" s="52" t="str">
        <x:v>How does chemistry give rise to biological structure?</x:v>
      </x:c>
      <x:c r="D8" s="52" t="str">
        <x:v>Chapters 1-4: biochemistry themes, water, amino acids, protein structure</x:v>
      </x:c>
      <x:c r="E8" s="52" t="str">
        <x:v>CHEM214 MEN 01 - Structure Begins with Chemistry</x:v>
      </x:c>
      <x:c r="F8" s="52" t="str">
        <x:v>CHEM214_MEN_01_structure_begins_with_chemistry</x:v>
      </x:c>
      <x:c r="G8" s="52" t="str">
        <x:v>Which category best describes your selected structure?</x:v>
      </x:c>
      <x:c r="H8" s="52" t="str">
        <x:v>Dropdown</x:v>
      </x:c>
      <x:c r="I8" s="53" t="n">
        <x:v>0.25</x:v>
      </x:c>
      <x:c r="J8" s="52" t="str">
        <x:v>auto/completion</x:v>
      </x:c>
      <x:c r="K8" s="52" t="str">
        <x:v>molecular_class</x:v>
      </x:c>
      <x:c r="L8" s="52" t="str">
        <x:v>Use controlled categories for analytics</x:v>
      </x:c>
    </x:row>
    <x:row r="9" ht="58" customHeight="1">
      <x:c r="A9" s="52" t="n">
        <x:v>1</x:v>
      </x:c>
      <x:c r="B9" s="52" t="n">
        <x:v>1</x:v>
      </x:c>
      <x:c r="C9" s="52" t="str">
        <x:v>How does chemistry give rise to biological structure?</x:v>
      </x:c>
      <x:c r="D9" s="52" t="str">
        <x:v>Chapters 1-4: biochemistry themes, water, amino acids, protein structure</x:v>
      </x:c>
      <x:c r="E9" s="52" t="str">
        <x:v>CHEM214 MEN 01 - Structure Begins with Chemistry</x:v>
      </x:c>
      <x:c r="F9" s="52" t="str">
        <x:v>CHEM214_MEN_01_structure_begins_with_chemistry</x:v>
      </x:c>
      <x:c r="G9" s="52" t="str">
        <x:v>Which Atlas tools did you use? Select all that apply.</x:v>
      </x:c>
      <x:c r="H9" s="52" t="str">
        <x:v>Checkbox</x:v>
      </x:c>
      <x:c r="I9" s="53" t="n">
        <x:v>0.25</x:v>
      </x:c>
      <x:c r="J9" s="52" t="str">
        <x:v>completion</x:v>
      </x:c>
      <x:c r="K9" s="52" t="str">
        <x:v>atlas_features_used</x:v>
      </x:c>
      <x:c r="L9" s="52" t="str">
        <x:v>Useful for feature-use analytics</x:v>
      </x:c>
    </x:row>
    <x:row r="10" ht="58" customHeight="1">
      <x:c r="A10" s="52" t="n">
        <x:v>1</x:v>
      </x:c>
      <x:c r="B10" s="52" t="n">
        <x:v>1</x:v>
      </x:c>
      <x:c r="C10" s="52" t="str">
        <x:v>How does chemistry give rise to biological structure?</x:v>
      </x:c>
      <x:c r="D10" s="52" t="str">
        <x:v>Chapters 1-4: biochemistry themes, water, amino acids, protein structure</x:v>
      </x:c>
      <x:c r="E10" s="52" t="str">
        <x:v>CHEM214 MEN 01 - Structure Begins with Chemistry</x:v>
      </x:c>
      <x:c r="F10" s="52" t="str">
        <x:v>CHEM214_MEN_01_structure_begins_with_chemistry</x:v>
      </x:c>
      <x:c r="G10" s="52" t="str">
        <x:v>Upload one screenshot from the Biochemistry Visual Atlas that supports your observations.</x:v>
      </x:c>
      <x:c r="H10" s="52" t="str">
        <x:v>File upload</x:v>
      </x:c>
      <x:c r="I10" s="53" t="n">
        <x:v>1.5</x:v>
      </x:c>
      <x:c r="J10" s="52" t="str">
        <x:v>manual/completion</x:v>
      </x:c>
      <x:c r="K10" s="52" t="str">
        <x:v>screenshot_upload</x:v>
      </x:c>
      <x:c r="L10" s="52" t="str">
        <x:v>One screenshot per notebook entry</x:v>
      </x:c>
    </x:row>
    <x:row r="11" ht="58" customHeight="1">
      <x:c r="A11" s="52" t="n">
        <x:v>1</x:v>
      </x:c>
      <x:c r="B11" s="52" t="n">
        <x:v>1</x:v>
      </x:c>
      <x:c r="C11" s="52" t="str">
        <x:v>How does chemistry give rise to biological structure?</x:v>
      </x:c>
      <x:c r="D11" s="52" t="str">
        <x:v>Chapters 1-4: biochemistry themes, water, amino acids, protein structure</x:v>
      </x:c>
      <x:c r="E11" s="52" t="str">
        <x:v>CHEM214 MEN 01 - Structure Begins with Chemistry</x:v>
      </x:c>
      <x:c r="F11" s="52" t="str">
        <x:v>CHEM214_MEN_01_structure_begins_with_chemistry</x:v>
      </x:c>
      <x:c r="G11" s="52" t="str">
        <x:v>Write a one-sentence caption explaining what your screenshot shows.</x:v>
      </x:c>
      <x:c r="H11" s="52" t="str">
        <x:v>Short answer</x:v>
      </x:c>
      <x:c r="I11" s="53" t="n">
        <x:v>0.5</x:v>
      </x:c>
      <x:c r="J11" s="52" t="str">
        <x:v>manual/completion</x:v>
      </x:c>
      <x:c r="K11" s="52" t="str">
        <x:v>screenshot_caption</x:v>
      </x:c>
      <x:c r="L11" s="52" t="str">
        <x:v>Suggested 15-35 words</x:v>
      </x:c>
    </x:row>
    <x:row r="12" ht="58" customHeight="1">
      <x:c r="A12" s="52" t="n">
        <x:v>1</x:v>
      </x:c>
      <x:c r="B12" s="52" t="n">
        <x:v>1</x:v>
      </x:c>
      <x:c r="C12" s="52" t="str">
        <x:v>How does chemistry give rise to biological structure?</x:v>
      </x:c>
      <x:c r="D12" s="52" t="str">
        <x:v>Chapters 1-4: biochemistry themes, water, amino acids, protein structure</x:v>
      </x:c>
      <x:c r="E12" s="52" t="str">
        <x:v>CHEM214 MEN 01 - Structure Begins with Chemistry</x:v>
      </x:c>
      <x:c r="F12" s="52" t="str">
        <x:v>CHEM214_MEN_01_structure_begins_with_chemistry</x:v>
      </x:c>
      <x:c r="G12" s="52" t="str">
        <x:v>Which structural feature is most important in your screenshot?</x:v>
      </x:c>
      <x:c r="H12" s="52" t="str">
        <x:v>Dropdown</x:v>
      </x:c>
      <x:c r="I12" s="53" t="n">
        <x:v>0.25</x:v>
      </x:c>
      <x:c r="J12" s="52" t="str">
        <x:v>auto/completion</x:v>
      </x:c>
      <x:c r="K12" s="52" t="str">
        <x:v>key_structural_feature</x:v>
      </x:c>
      <x:c r="L12" s="52" t="str">
        <x:v>Use controlled categories for analytics</x:v>
      </x:c>
    </x:row>
    <x:row r="13" ht="58" customHeight="1">
      <x:c r="A13" s="52" t="n">
        <x:v>1</x:v>
      </x:c>
      <x:c r="B13" s="52" t="n">
        <x:v>1</x:v>
      </x:c>
      <x:c r="C13" s="52" t="str">
        <x:v>How does chemistry give rise to biological structure?</x:v>
      </x:c>
      <x:c r="D13" s="52" t="str">
        <x:v>Chapters 1-4: biochemistry themes, water, amino acids, protein structure</x:v>
      </x:c>
      <x:c r="E13" s="52" t="str">
        <x:v>CHEM214 MEN 01 - Structure Begins with Chemistry</x:v>
      </x:c>
      <x:c r="F13" s="52" t="str">
        <x:v>CHEM214_MEN_01_structure_begins_with_chemistry</x:v>
      </x:c>
      <x:c r="G13" s="52" t="str">
        <x:v>Which molecular interactions or chemical features did you observe? Select all that apply.</x:v>
      </x:c>
      <x:c r="H13" s="52" t="str">
        <x:v>Checkbox</x:v>
      </x:c>
      <x:c r="I13" s="53" t="n">
        <x:v>0.25</x:v>
      </x:c>
      <x:c r="J13" s="52" t="str">
        <x:v>completion</x:v>
      </x:c>
      <x:c r="K13" s="52" t="str">
        <x:v>interaction_features</x:v>
      </x:c>
      <x:c r="L13" s="52" t="str">
        <x:v>Use controlled categories for analytics</x:v>
      </x:c>
    </x:row>
    <x:row r="14" ht="58" customHeight="1">
      <x:c r="A14" s="52" t="n">
        <x:v>1</x:v>
      </x:c>
      <x:c r="B14" s="52" t="n">
        <x:v>1</x:v>
      </x:c>
      <x:c r="C14" s="52" t="str">
        <x:v>How does chemistry give rise to biological structure?</x:v>
      </x:c>
      <x:c r="D14" s="52" t="str">
        <x:v>Chapters 1-4: biochemistry themes, water, amino acids, protein structure</x:v>
      </x:c>
      <x:c r="E14" s="52" t="str">
        <x:v>CHEM214 MEN 01 - Structure Begins with Chemistry</x:v>
      </x:c>
      <x:c r="F14" s="52" t="str">
        <x:v>CHEM214_MEN_01_structure_begins_with_chemistry</x:v>
      </x:c>
      <x:c r="G14" s="52" t="str">
        <x:v>What is one specific molecular detail you noticed?</x:v>
      </x:c>
      <x:c r="H14" s="52" t="str">
        <x:v>Short answer</x:v>
      </x:c>
      <x:c r="I14" s="53" t="n">
        <x:v>0.5</x:v>
      </x:c>
      <x:c r="J14" s="52" t="str">
        <x:v>completion/manual spot check</x:v>
      </x:c>
      <x:c r="K14" s="52" t="str">
        <x:v>observation_specific_detail</x:v>
      </x:c>
      <x:c r="L14" s="52" t="str">
        <x:v>Suggested 1-2 sentences</x:v>
      </x:c>
    </x:row>
    <x:row r="15" ht="58" customHeight="1">
      <x:c r="A15" s="52" t="n">
        <x:v>1</x:v>
      </x:c>
      <x:c r="B15" s="52" t="n">
        <x:v>1</x:v>
      </x:c>
      <x:c r="C15" s="52" t="str">
        <x:v>How does chemistry give rise to biological structure?</x:v>
      </x:c>
      <x:c r="D15" s="52" t="str">
        <x:v>Chapters 1-4: biochemistry themes, water, amino acids, protein structure</x:v>
      </x:c>
      <x:c r="E15" s="52" t="str">
        <x:v>CHEM214 MEN 01 - Structure Begins with Chemistry</x:v>
      </x:c>
      <x:c r="F15" s="52" t="str">
        <x:v>CHEM214_MEN_01_structure_begins_with_chemistry</x:v>
      </x:c>
      <x:c r="G15" s="52" t="str">
        <x:v>How does this detail relate to the weekly scientific question?</x:v>
      </x:c>
      <x:c r="H15" s="52" t="str">
        <x:v>Short answer</x:v>
      </x:c>
      <x:c r="I15" s="53" t="n">
        <x:v>0.5</x:v>
      </x:c>
      <x:c r="J15" s="52" t="str">
        <x:v>manual</x:v>
      </x:c>
      <x:c r="K15" s="52" t="str">
        <x:v>observation_scientific_question</x:v>
      </x:c>
      <x:c r="L15" s="52" t="str">
        <x:v>Suggested 1-2 sentences</x:v>
      </x:c>
    </x:row>
    <x:row r="16" ht="58" customHeight="1">
      <x:c r="A16" s="52" t="n">
        <x:v>1</x:v>
      </x:c>
      <x:c r="B16" s="52" t="n">
        <x:v>1</x:v>
      </x:c>
      <x:c r="C16" s="52" t="str">
        <x:v>How does chemistry give rise to biological structure?</x:v>
      </x:c>
      <x:c r="D16" s="52" t="str">
        <x:v>Chapters 1-4: biochemistry themes, water, amino acids, protein structure</x:v>
      </x:c>
      <x:c r="E16" s="52" t="str">
        <x:v>CHEM214 MEN 01 - Structure Begins with Chemistry</x:v>
      </x:c>
      <x:c r="F16" s="52" t="str">
        <x:v>CHEM214_MEN_01_structure_begins_with_chemistry</x:v>
      </x:c>
      <x:c r="G16" s="52" t="str">
        <x:v>Make one concise claim connecting structure to function.</x:v>
      </x:c>
      <x:c r="H16" s="52" t="str">
        <x:v>Short answer</x:v>
      </x:c>
      <x:c r="I16" s="53" t="n">
        <x:v>0.5</x:v>
      </x:c>
      <x:c r="J16" s="52" t="str">
        <x:v>manual</x:v>
      </x:c>
      <x:c r="K16" s="52" t="str">
        <x:v>structure_function_claim</x:v>
      </x:c>
      <x:c r="L16" s="52" t="str">
        <x:v>Suggested 1 sentence</x:v>
      </x:c>
    </x:row>
    <x:row r="17" ht="58" customHeight="1">
      <x:c r="A17" s="52" t="n">
        <x:v>1</x:v>
      </x:c>
      <x:c r="B17" s="52" t="n">
        <x:v>1</x:v>
      </x:c>
      <x:c r="C17" s="52" t="str">
        <x:v>How does chemistry give rise to biological structure?</x:v>
      </x:c>
      <x:c r="D17" s="52" t="str">
        <x:v>Chapters 1-4: biochemistry themes, water, amino acids, protein structure</x:v>
      </x:c>
      <x:c r="E17" s="52" t="str">
        <x:v>CHEM214 MEN 01 - Structure Begins with Chemistry</x:v>
      </x:c>
      <x:c r="F17" s="52" t="str">
        <x:v>CHEM214_MEN_01_structure_begins_with_chemistry</x:v>
      </x:c>
      <x:c r="G17" s="52" t="str">
        <x:v>What kind of evidence most directly supports your claim?</x:v>
      </x:c>
      <x:c r="H17" s="52" t="str">
        <x:v>Dropdown</x:v>
      </x:c>
      <x:c r="I17" s="53" t="n">
        <x:v>0.25</x:v>
      </x:c>
      <x:c r="J17" s="52" t="str">
        <x:v>auto/completion</x:v>
      </x:c>
      <x:c r="K17" s="52" t="str">
        <x:v>evidence_type</x:v>
      </x:c>
      <x:c r="L17" s="52" t="str">
        <x:v>Use controlled categories for analytics</x:v>
      </x:c>
    </x:row>
    <x:row r="18" ht="58" customHeight="1">
      <x:c r="A18" s="52" t="n">
        <x:v>1</x:v>
      </x:c>
      <x:c r="B18" s="52" t="n">
        <x:v>1</x:v>
      </x:c>
      <x:c r="C18" s="52" t="str">
        <x:v>How does chemistry give rise to biological structure?</x:v>
      </x:c>
      <x:c r="D18" s="52" t="str">
        <x:v>Chapters 1-4: biochemistry themes, water, amino acids, protein structure</x:v>
      </x:c>
      <x:c r="E18" s="52" t="str">
        <x:v>CHEM214 MEN 01 - Structure Begins with Chemistry</x:v>
      </x:c>
      <x:c r="F18" s="52" t="str">
        <x:v>CHEM214_MEN_01_structure_begins_with_chemistry</x:v>
      </x:c>
      <x:c r="G18" s="52" t="str">
        <x:v>State the evidence from your screenshot or Atlas exploration.</x:v>
      </x:c>
      <x:c r="H18" s="52" t="str">
        <x:v>Short answer</x:v>
      </x:c>
      <x:c r="I18" s="53" t="n">
        <x:v>0.5</x:v>
      </x:c>
      <x:c r="J18" s="52" t="str">
        <x:v>manual</x:v>
      </x:c>
      <x:c r="K18" s="52" t="str">
        <x:v>evidence_statement</x:v>
      </x:c>
      <x:c r="L18" s="52" t="str">
        <x:v>Suggested 1-2 sentences</x:v>
      </x:c>
    </x:row>
    <x:row r="19" ht="58" customHeight="1">
      <x:c r="A19" s="52" t="n">
        <x:v>1</x:v>
      </x:c>
      <x:c r="B19" s="52" t="n">
        <x:v>1</x:v>
      </x:c>
      <x:c r="C19" s="52" t="str">
        <x:v>How does chemistry give rise to biological structure?</x:v>
      </x:c>
      <x:c r="D19" s="52" t="str">
        <x:v>Chapters 1-4: biochemistry themes, water, amino acids, protein structure</x:v>
      </x:c>
      <x:c r="E19" s="52" t="str">
        <x:v>CHEM214 MEN 01 - Structure Begins with Chemistry</x:v>
      </x:c>
      <x:c r="F19" s="52" t="str">
        <x:v>CHEM214_MEN_01_structure_begins_with_chemistry</x:v>
      </x:c>
      <x:c r="G19" s="52" t="str">
        <x:v>What is one limitation or uncertainty in your interpretation?</x:v>
      </x:c>
      <x:c r="H19" s="52" t="str">
        <x:v>Short answer</x:v>
      </x:c>
      <x:c r="I19" s="53" t="n">
        <x:v>0.25</x:v>
      </x:c>
      <x:c r="J19" s="52" t="str">
        <x:v>completion/manual</x:v>
      </x:c>
      <x:c r="K19" s="52" t="str">
        <x:v>limitation_uncertainty</x:v>
      </x:c>
      <x:c r="L19" s="52" t="str">
        <x:v>Suggested 1 sentence</x:v>
      </x:c>
    </x:row>
    <x:row r="20" ht="58" customHeight="1">
      <x:c r="A20" s="52" t="n">
        <x:v>1</x:v>
      </x:c>
      <x:c r="B20" s="52" t="n">
        <x:v>1</x:v>
      </x:c>
      <x:c r="C20" s="52" t="str">
        <x:v>How does chemistry give rise to biological structure?</x:v>
      </x:c>
      <x:c r="D20" s="52" t="str">
        <x:v>Chapters 1-4: biochemistry themes, water, amino acids, protein structure</x:v>
      </x:c>
      <x:c r="E20" s="52" t="str">
        <x:v>CHEM214 MEN 01 - Structure Begins with Chemistry</x:v>
      </x:c>
      <x:c r="F20" s="52" t="str">
        <x:v>CHEM214_MEN_01_structure_begins_with_chemistry</x:v>
      </x:c>
      <x:c r="G20" s="52" t="str">
        <x:v>How confident are you in your interpretation?</x:v>
      </x:c>
      <x:c r="H20" s="52" t="str">
        <x:v>Likert</x:v>
      </x:c>
      <x:c r="I20" s="53" t="n">
        <x:v>0.25</x:v>
      </x:c>
      <x:c r="J20" s="52" t="str">
        <x:v>auto/completion</x:v>
      </x:c>
      <x:c r="K20" s="52" t="str">
        <x:v>confidence_rating</x:v>
      </x:c>
      <x:c r="L20" s="52" t="str">
        <x:v>1 not confident to 5 very confident</x:v>
      </x:c>
    </x:row>
    <x:row r="21" ht="58" customHeight="1">
      <x:c r="A21" s="52" t="n">
        <x:v>1</x:v>
      </x:c>
      <x:c r="B21" s="52" t="n">
        <x:v>1</x:v>
      </x:c>
      <x:c r="C21" s="52" t="str">
        <x:v>How does chemistry give rise to biological structure?</x:v>
      </x:c>
      <x:c r="D21" s="52" t="str">
        <x:v>Chapters 1-4: biochemistry themes, water, amino acids, protein structure</x:v>
      </x:c>
      <x:c r="E21" s="52" t="str">
        <x:v>CHEM214 MEN 01 - Structure Begins with Chemistry</x:v>
      </x:c>
      <x:c r="F21" s="52" t="str">
        <x:v>CHEM214_MEN_01_structure_begins_with_chemistry</x:v>
      </x:c>
      <x:c r="G21" s="52" t="str">
        <x:v>How difficult was this exploration?</x:v>
      </x:c>
      <x:c r="H21" s="52" t="str">
        <x:v>Likert</x:v>
      </x:c>
      <x:c r="I21" s="53" t="n">
        <x:v>0.25</x:v>
      </x:c>
      <x:c r="J21" s="52" t="str">
        <x:v>auto/completion</x:v>
      </x:c>
      <x:c r="K21" s="52" t="str">
        <x:v>difficulty_rating</x:v>
      </x:c>
      <x:c r="L21" s="52" t="str">
        <x:v>1 very easy to 5 very difficult</x:v>
      </x:c>
    </x:row>
    <x:row r="22" ht="58" customHeight="1">
      <x:c r="A22" s="52" t="n">
        <x:v>1</x:v>
      </x:c>
      <x:c r="B22" s="52" t="n">
        <x:v>1</x:v>
      </x:c>
      <x:c r="C22" s="52" t="str">
        <x:v>How does chemistry give rise to biological structure?</x:v>
      </x:c>
      <x:c r="D22" s="52" t="str">
        <x:v>Chapters 1-4: biochemistry themes, water, amino acids, protein structure</x:v>
      </x:c>
      <x:c r="E22" s="52" t="str">
        <x:v>CHEM214 MEN 01 - Structure Begins with Chemistry</x:v>
      </x:c>
      <x:c r="F22" s="52" t="str">
        <x:v>CHEM214_MEN_01_structure_begins_with_chemistry</x:v>
      </x:c>
      <x:c r="G22" s="52" t="str">
        <x:v>How useful was the Atlas for understanding this week?</x:v>
      </x:c>
      <x:c r="H22" s="52" t="str">
        <x:v>Likert</x:v>
      </x:c>
      <x:c r="I22" s="53" t="n">
        <x:v>0.25</x:v>
      </x:c>
      <x:c r="J22" s="52" t="str">
        <x:v>auto/completion</x:v>
      </x:c>
      <x:c r="K22" s="52" t="str">
        <x:v>usefulness_rating</x:v>
      </x:c>
      <x:c r="L22" s="52" t="str">
        <x:v>1 not useful to 5 very useful</x:v>
      </x:c>
    </x:row>
    <x:row r="23" ht="58" customHeight="1">
      <x:c r="A23" s="52" t="n">
        <x:v>1</x:v>
      </x:c>
      <x:c r="B23" s="52" t="n">
        <x:v>1</x:v>
      </x:c>
      <x:c r="C23" s="52" t="str">
        <x:v>How does chemistry give rise to biological structure?</x:v>
      </x:c>
      <x:c r="D23" s="52" t="str">
        <x:v>Chapters 1-4: biochemistry themes, water, amino acids, protein structure</x:v>
      </x:c>
      <x:c r="E23" s="52" t="str">
        <x:v>CHEM214 MEN 01 - Structure Begins with Chemistry</x:v>
      </x:c>
      <x:c r="F23" s="52" t="str">
        <x:v>CHEM214_MEN_01_structure_begins_with_chemistry</x:v>
      </x:c>
      <x:c r="G23" s="52" t="str">
        <x:v>About how long did this entry take?</x:v>
      </x:c>
      <x:c r="H23" s="52" t="str">
        <x:v>Multiple choice</x:v>
      </x:c>
      <x:c r="I23" s="53" t="n">
        <x:v>0.25</x:v>
      </x:c>
      <x:c r="J23" s="52" t="str">
        <x:v>auto/completion</x:v>
      </x:c>
      <x:c r="K23" s="52" t="str">
        <x:v>time_on_task</x:v>
      </x:c>
      <x:c r="L23" s="52" t="str">
        <x:v>under 10; 10-15; 15-25; 25-35; over 35 minutes</x:v>
      </x:c>
    </x:row>
    <x:row r="24" ht="58" customHeight="1">
      <x:c r="A24" s="52" t="n">
        <x:v>1</x:v>
      </x:c>
      <x:c r="B24" s="52" t="n">
        <x:v>1</x:v>
      </x:c>
      <x:c r="C24" s="52" t="str">
        <x:v>How does chemistry give rise to biological structure?</x:v>
      </x:c>
      <x:c r="D24" s="52" t="str">
        <x:v>Chapters 1-4: biochemistry themes, water, amino acids, protein structure</x:v>
      </x:c>
      <x:c r="E24" s="52" t="str">
        <x:v>CHEM214 MEN 01 - Structure Begins with Chemistry</x:v>
      </x:c>
      <x:c r="F24" s="52" t="str">
        <x:v>CHEM214_MEN_01_structure_begins_with_chemistry</x:v>
      </x:c>
      <x:c r="G24" s="52" t="str">
        <x:v>What is one thing that still feels unclear?</x:v>
      </x:c>
      <x:c r="H24" s="52" t="str">
        <x:v>Short answer</x:v>
      </x:c>
      <x:c r="I24" s="53" t="n">
        <x:v>0.5</x:v>
      </x:c>
      <x:c r="J24" s="52" t="str">
        <x:v>completion</x:v>
      </x:c>
      <x:c r="K24" s="52" t="str">
        <x:v>muddiest_point</x:v>
      </x:c>
      <x:c r="L24" s="52" t="str">
        <x:v>Suggested 1 sentence</x:v>
      </x:c>
    </x:row>
    <x:row r="25" ht="58" customHeight="1">
      <x:c r="A25" s="52" t="n">
        <x:v>1</x:v>
      </x:c>
      <x:c r="B25" s="52" t="n">
        <x:v>1</x:v>
      </x:c>
      <x:c r="C25" s="52" t="str">
        <x:v>How does chemistry give rise to biological structure?</x:v>
      </x:c>
      <x:c r="D25" s="52" t="str">
        <x:v>Chapters 1-4: biochemistry themes, water, amino acids, protein structure</x:v>
      </x:c>
      <x:c r="E25" s="52" t="str">
        <x:v>CHEM214 MEN 01 - Structure Begins with Chemistry</x:v>
      </x:c>
      <x:c r="F25" s="52" t="str">
        <x:v>CHEM214_MEN_01_structure_begins_with_chemistry</x:v>
      </x:c>
      <x:c r="G25" s="52" t="str">
        <x:v>Which ionizable residue or group did you inspect?</x:v>
      </x:c>
      <x:c r="H25" s="52" t="str">
        <x:v>Dropdown</x:v>
      </x:c>
      <x:c r="I25" s="53" t="n">
        <x:v>0.75</x:v>
      </x:c>
      <x:c r="J25" s="52" t="str">
        <x:v>auto/completion</x:v>
      </x:c>
      <x:c r="K25" s="52" t="str">
        <x:v>ionizable_residue_type</x:v>
      </x:c>
      <x:c r="L25" s="52" t="str">
        <x:v>Entry 1 only: Asp, Glu, His, Cys, Tyr, Lys, Arg, N-terminus, C-terminus, none/unsure</x:v>
      </x:c>
    </x:row>
    <x:row r="26" ht="58" customHeight="1">
      <x:c r="A26" s="52" t="n">
        <x:v>1</x:v>
      </x:c>
      <x:c r="B26" s="52" t="n">
        <x:v>1</x:v>
      </x:c>
      <x:c r="C26" s="52" t="str">
        <x:v>How does chemistry give rise to biological structure?</x:v>
      </x:c>
      <x:c r="D26" s="52" t="str">
        <x:v>Chapters 1-4: biochemistry themes, water, amino acids, protein structure</x:v>
      </x:c>
      <x:c r="E26" s="52" t="str">
        <x:v>CHEM214 MEN 01 - Structure Begins with Chemistry</x:v>
      </x:c>
      <x:c r="F26" s="52" t="str">
        <x:v>CHEM214_MEN_01_structure_begins_with_chemistry</x:v>
      </x:c>
      <x:c r="G26" s="52" t="str">
        <x:v>What charge or protonation behavior might matter for this residue?</x:v>
      </x:c>
      <x:c r="H26" s="52" t="str">
        <x:v>Short answer</x:v>
      </x:c>
      <x:c r="I26" s="53" t="n">
        <x:v>1.75</x:v>
      </x:c>
      <x:c r="J26" s="52" t="str">
        <x:v>manual</x:v>
      </x:c>
      <x:c r="K26" s="52" t="str">
        <x:v>ionization_charge_explanation</x:v>
      </x:c>
      <x:c r="L26" s="52" t="str">
        <x:v>Entry 1 only; suggested 1-2 sentences</x:v>
      </x:c>
    </x:row>
    <x:row r="27" ht="58" customHeight="1">
      <x:c r="A27" s="52" t="n">
        <x:v>2</x:v>
      </x:c>
      <x:c r="B27" s="52" t="n">
        <x:v>2</x:v>
      </x:c>
      <x:c r="C27" s="52" t="str">
        <x:v>How do proteins recognize molecules and catalyze chemical reactions?</x:v>
      </x:c>
      <x:c r="D27" s="52" t="str">
        <x:v>Chapters 5-6: protein function, ligand binding, enzymes, catalysis</x:v>
      </x:c>
      <x:c r="E27" s="52" t="str">
        <x:v>CHEM214 MEN 02 - Recognition and Catalysis</x:v>
      </x:c>
      <x:c r="F27" s="52" t="str">
        <x:v>CHEM214_MEN_02_recognition_and_catalysis</x:v>
      </x:c>
      <x:c r="G27" s="52" t="str">
        <x:v>Which Molecular Exploration Notebook entry are you completing?</x:v>
      </x:c>
      <x:c r="H27" s="52" t="str">
        <x:v>Multiple choice</x:v>
      </x:c>
      <x:c r="I27" s="53" t="n">
        <x:v>0</x:v>
      </x:c>
      <x:c r="J27" s="52" t="str">
        <x:v>auto/completion</x:v>
      </x:c>
      <x:c r="K27" s="52" t="str">
        <x:v>entry_id</x:v>
      </x:c>
      <x:c r="L27" s="52" t="str">
        <x:v>Identifier only; use in Canvas and Qualtrics exports</x:v>
      </x:c>
    </x:row>
    <x:row r="28" ht="58" customHeight="1">
      <x:c r="A28" s="52" t="n">
        <x:v>2</x:v>
      </x:c>
      <x:c r="B28" s="52" t="n">
        <x:v>2</x:v>
      </x:c>
      <x:c r="C28" s="52" t="str">
        <x:v>How do proteins recognize molecules and catalyze chemical reactions?</x:v>
      </x:c>
      <x:c r="D28" s="52" t="str">
        <x:v>Chapters 5-6: protein function, ligand binding, enzymes, catalysis</x:v>
      </x:c>
      <x:c r="E28" s="52" t="str">
        <x:v>CHEM214 MEN 02 - Recognition and Catalysis</x:v>
      </x:c>
      <x:c r="F28" s="52" t="str">
        <x:v>CHEM214_MEN_02_recognition_and_catalysis</x:v>
      </x:c>
      <x:c r="G28" s="52" t="str">
        <x:v>Enter the protein, molecule, or structure name you explored.</x:v>
      </x:c>
      <x:c r="H28" s="52" t="str">
        <x:v>Short answer</x:v>
      </x:c>
      <x:c r="I28" s="53" t="n">
        <x:v>0.25</x:v>
      </x:c>
      <x:c r="J28" s="52" t="str">
        <x:v>completion</x:v>
      </x:c>
      <x:c r="K28" s="52" t="str">
        <x:v>protein_name</x:v>
      </x:c>
      <x:c r="L28" s="52" t="str">
        <x:v>Required short text</x:v>
      </x:c>
    </x:row>
    <x:row r="29" ht="58" customHeight="1">
      <x:c r="A29" s="52" t="n">
        <x:v>2</x:v>
      </x:c>
      <x:c r="B29" s="52" t="n">
        <x:v>2</x:v>
      </x:c>
      <x:c r="C29" s="52" t="str">
        <x:v>How do proteins recognize molecules and catalyze chemical reactions?</x:v>
      </x:c>
      <x:c r="D29" s="52" t="str">
        <x:v>Chapters 5-6: protein function, ligand binding, enzymes, catalysis</x:v>
      </x:c>
      <x:c r="E29" s="52" t="str">
        <x:v>CHEM214 MEN 02 - Recognition and Catalysis</x:v>
      </x:c>
      <x:c r="F29" s="52" t="str">
        <x:v>CHEM214_MEN_02_recognition_and_catalysis</x:v>
      </x:c>
      <x:c r="G29" s="52" t="str">
        <x:v>Enter the 4-character PDB ID used in the Atlas, if available.</x:v>
      </x:c>
      <x:c r="H29" s="52" t="str">
        <x:v>Short answer</x:v>
      </x:c>
      <x:c r="I29" s="53" t="n">
        <x:v>0.25</x:v>
      </x:c>
      <x:c r="J29" s="52" t="str">
        <x:v>completion</x:v>
      </x:c>
      <x:c r="K29" s="52" t="str">
        <x:v>pdb_id</x:v>
      </x:c>
      <x:c r="L29" s="52" t="str">
        <x:v>Validate as 4 alphanumeric characters when possible</x:v>
      </x:c>
    </x:row>
    <x:row r="30" ht="58" customHeight="1">
      <x:c r="A30" s="52" t="n">
        <x:v>2</x:v>
      </x:c>
      <x:c r="B30" s="52" t="n">
        <x:v>2</x:v>
      </x:c>
      <x:c r="C30" s="52" t="str">
        <x:v>How do proteins recognize molecules and catalyze chemical reactions?</x:v>
      </x:c>
      <x:c r="D30" s="52" t="str">
        <x:v>Chapters 5-6: protein function, ligand binding, enzymes, catalysis</x:v>
      </x:c>
      <x:c r="E30" s="52" t="str">
        <x:v>CHEM214 MEN 02 - Recognition and Catalysis</x:v>
      </x:c>
      <x:c r="F30" s="52" t="str">
        <x:v>CHEM214_MEN_02_recognition_and_catalysis</x:v>
      </x:c>
      <x:c r="G30" s="52" t="str">
        <x:v>Which category best describes your selected structure?</x:v>
      </x:c>
      <x:c r="H30" s="52" t="str">
        <x:v>Dropdown</x:v>
      </x:c>
      <x:c r="I30" s="53" t="n">
        <x:v>0.25</x:v>
      </x:c>
      <x:c r="J30" s="52" t="str">
        <x:v>auto/completion</x:v>
      </x:c>
      <x:c r="K30" s="52" t="str">
        <x:v>molecular_class</x:v>
      </x:c>
      <x:c r="L30" s="52" t="str">
        <x:v>Use controlled categories for analytics</x:v>
      </x:c>
    </x:row>
    <x:row r="31" ht="58" customHeight="1">
      <x:c r="A31" s="52" t="n">
        <x:v>2</x:v>
      </x:c>
      <x:c r="B31" s="52" t="n">
        <x:v>2</x:v>
      </x:c>
      <x:c r="C31" s="52" t="str">
        <x:v>How do proteins recognize molecules and catalyze chemical reactions?</x:v>
      </x:c>
      <x:c r="D31" s="52" t="str">
        <x:v>Chapters 5-6: protein function, ligand binding, enzymes, catalysis</x:v>
      </x:c>
      <x:c r="E31" s="52" t="str">
        <x:v>CHEM214 MEN 02 - Recognition and Catalysis</x:v>
      </x:c>
      <x:c r="F31" s="52" t="str">
        <x:v>CHEM214_MEN_02_recognition_and_catalysis</x:v>
      </x:c>
      <x:c r="G31" s="52" t="str">
        <x:v>Which Atlas tools did you use? Select all that apply.</x:v>
      </x:c>
      <x:c r="H31" s="52" t="str">
        <x:v>Checkbox</x:v>
      </x:c>
      <x:c r="I31" s="53" t="n">
        <x:v>0.25</x:v>
      </x:c>
      <x:c r="J31" s="52" t="str">
        <x:v>completion</x:v>
      </x:c>
      <x:c r="K31" s="52" t="str">
        <x:v>atlas_features_used</x:v>
      </x:c>
      <x:c r="L31" s="52" t="str">
        <x:v>Useful for feature-use analytics</x:v>
      </x:c>
    </x:row>
    <x:row r="32" ht="58" customHeight="1">
      <x:c r="A32" s="52" t="n">
        <x:v>2</x:v>
      </x:c>
      <x:c r="B32" s="52" t="n">
        <x:v>2</x:v>
      </x:c>
      <x:c r="C32" s="52" t="str">
        <x:v>How do proteins recognize molecules and catalyze chemical reactions?</x:v>
      </x:c>
      <x:c r="D32" s="52" t="str">
        <x:v>Chapters 5-6: protein function, ligand binding, enzymes, catalysis</x:v>
      </x:c>
      <x:c r="E32" s="52" t="str">
        <x:v>CHEM214 MEN 02 - Recognition and Catalysis</x:v>
      </x:c>
      <x:c r="F32" s="52" t="str">
        <x:v>CHEM214_MEN_02_recognition_and_catalysis</x:v>
      </x:c>
      <x:c r="G32" s="52" t="str">
        <x:v>Upload one screenshot from the Biochemistry Visual Atlas that supports your observations.</x:v>
      </x:c>
      <x:c r="H32" s="52" t="str">
        <x:v>File upload</x:v>
      </x:c>
      <x:c r="I32" s="53" t="n">
        <x:v>1.5</x:v>
      </x:c>
      <x:c r="J32" s="52" t="str">
        <x:v>manual/completion</x:v>
      </x:c>
      <x:c r="K32" s="52" t="str">
        <x:v>screenshot_upload</x:v>
      </x:c>
      <x:c r="L32" s="52" t="str">
        <x:v>One screenshot per notebook entry</x:v>
      </x:c>
    </x:row>
    <x:row r="33" ht="58" customHeight="1">
      <x:c r="A33" s="52" t="n">
        <x:v>2</x:v>
      </x:c>
      <x:c r="B33" s="52" t="n">
        <x:v>2</x:v>
      </x:c>
      <x:c r="C33" s="52" t="str">
        <x:v>How do proteins recognize molecules and catalyze chemical reactions?</x:v>
      </x:c>
      <x:c r="D33" s="52" t="str">
        <x:v>Chapters 5-6: protein function, ligand binding, enzymes, catalysis</x:v>
      </x:c>
      <x:c r="E33" s="52" t="str">
        <x:v>CHEM214 MEN 02 - Recognition and Catalysis</x:v>
      </x:c>
      <x:c r="F33" s="52" t="str">
        <x:v>CHEM214_MEN_02_recognition_and_catalysis</x:v>
      </x:c>
      <x:c r="G33" s="52" t="str">
        <x:v>Write a one-sentence caption explaining what your screenshot shows.</x:v>
      </x:c>
      <x:c r="H33" s="52" t="str">
        <x:v>Short answer</x:v>
      </x:c>
      <x:c r="I33" s="53" t="n">
        <x:v>0.5</x:v>
      </x:c>
      <x:c r="J33" s="52" t="str">
        <x:v>manual/completion</x:v>
      </x:c>
      <x:c r="K33" s="52" t="str">
        <x:v>screenshot_caption</x:v>
      </x:c>
      <x:c r="L33" s="52" t="str">
        <x:v>Suggested 15-35 words</x:v>
      </x:c>
    </x:row>
    <x:row r="34" ht="58" customHeight="1">
      <x:c r="A34" s="52" t="n">
        <x:v>2</x:v>
      </x:c>
      <x:c r="B34" s="52" t="n">
        <x:v>2</x:v>
      </x:c>
      <x:c r="C34" s="52" t="str">
        <x:v>How do proteins recognize molecules and catalyze chemical reactions?</x:v>
      </x:c>
      <x:c r="D34" s="52" t="str">
        <x:v>Chapters 5-6: protein function, ligand binding, enzymes, catalysis</x:v>
      </x:c>
      <x:c r="E34" s="52" t="str">
        <x:v>CHEM214 MEN 02 - Recognition and Catalysis</x:v>
      </x:c>
      <x:c r="F34" s="52" t="str">
        <x:v>CHEM214_MEN_02_recognition_and_catalysis</x:v>
      </x:c>
      <x:c r="G34" s="52" t="str">
        <x:v>Which structural feature is most important in your screenshot?</x:v>
      </x:c>
      <x:c r="H34" s="52" t="str">
        <x:v>Dropdown</x:v>
      </x:c>
      <x:c r="I34" s="53" t="n">
        <x:v>0.25</x:v>
      </x:c>
      <x:c r="J34" s="52" t="str">
        <x:v>auto/completion</x:v>
      </x:c>
      <x:c r="K34" s="52" t="str">
        <x:v>key_structural_feature</x:v>
      </x:c>
      <x:c r="L34" s="52" t="str">
        <x:v>Use controlled categories for analytics</x:v>
      </x:c>
    </x:row>
    <x:row r="35" ht="58" customHeight="1">
      <x:c r="A35" s="52" t="n">
        <x:v>2</x:v>
      </x:c>
      <x:c r="B35" s="52" t="n">
        <x:v>2</x:v>
      </x:c>
      <x:c r="C35" s="52" t="str">
        <x:v>How do proteins recognize molecules and catalyze chemical reactions?</x:v>
      </x:c>
      <x:c r="D35" s="52" t="str">
        <x:v>Chapters 5-6: protein function, ligand binding, enzymes, catalysis</x:v>
      </x:c>
      <x:c r="E35" s="52" t="str">
        <x:v>CHEM214 MEN 02 - Recognition and Catalysis</x:v>
      </x:c>
      <x:c r="F35" s="52" t="str">
        <x:v>CHEM214_MEN_02_recognition_and_catalysis</x:v>
      </x:c>
      <x:c r="G35" s="52" t="str">
        <x:v>Which molecular interactions or chemical features did you observe? Select all that apply.</x:v>
      </x:c>
      <x:c r="H35" s="52" t="str">
        <x:v>Checkbox</x:v>
      </x:c>
      <x:c r="I35" s="53" t="n">
        <x:v>0.25</x:v>
      </x:c>
      <x:c r="J35" s="52" t="str">
        <x:v>completion</x:v>
      </x:c>
      <x:c r="K35" s="52" t="str">
        <x:v>interaction_features</x:v>
      </x:c>
      <x:c r="L35" s="52" t="str">
        <x:v>Use controlled categories for analytics</x:v>
      </x:c>
    </x:row>
    <x:row r="36" ht="58" customHeight="1">
      <x:c r="A36" s="52" t="n">
        <x:v>2</x:v>
      </x:c>
      <x:c r="B36" s="52" t="n">
        <x:v>2</x:v>
      </x:c>
      <x:c r="C36" s="52" t="str">
        <x:v>How do proteins recognize molecules and catalyze chemical reactions?</x:v>
      </x:c>
      <x:c r="D36" s="52" t="str">
        <x:v>Chapters 5-6: protein function, ligand binding, enzymes, catalysis</x:v>
      </x:c>
      <x:c r="E36" s="52" t="str">
        <x:v>CHEM214 MEN 02 - Recognition and Catalysis</x:v>
      </x:c>
      <x:c r="F36" s="52" t="str">
        <x:v>CHEM214_MEN_02_recognition_and_catalysis</x:v>
      </x:c>
      <x:c r="G36" s="52" t="str">
        <x:v>What is one specific molecular detail you noticed?</x:v>
      </x:c>
      <x:c r="H36" s="52" t="str">
        <x:v>Short answer</x:v>
      </x:c>
      <x:c r="I36" s="53" t="n">
        <x:v>0.5</x:v>
      </x:c>
      <x:c r="J36" s="52" t="str">
        <x:v>completion/manual spot check</x:v>
      </x:c>
      <x:c r="K36" s="52" t="str">
        <x:v>observation_specific_detail</x:v>
      </x:c>
      <x:c r="L36" s="52" t="str">
        <x:v>Suggested 1-2 sentences</x:v>
      </x:c>
    </x:row>
    <x:row r="37" ht="58" customHeight="1">
      <x:c r="A37" s="52" t="n">
        <x:v>2</x:v>
      </x:c>
      <x:c r="B37" s="52" t="n">
        <x:v>2</x:v>
      </x:c>
      <x:c r="C37" s="52" t="str">
        <x:v>How do proteins recognize molecules and catalyze chemical reactions?</x:v>
      </x:c>
      <x:c r="D37" s="52" t="str">
        <x:v>Chapters 5-6: protein function, ligand binding, enzymes, catalysis</x:v>
      </x:c>
      <x:c r="E37" s="52" t="str">
        <x:v>CHEM214 MEN 02 - Recognition and Catalysis</x:v>
      </x:c>
      <x:c r="F37" s="52" t="str">
        <x:v>CHEM214_MEN_02_recognition_and_catalysis</x:v>
      </x:c>
      <x:c r="G37" s="52" t="str">
        <x:v>How does this detail relate to the weekly scientific question?</x:v>
      </x:c>
      <x:c r="H37" s="52" t="str">
        <x:v>Short answer</x:v>
      </x:c>
      <x:c r="I37" s="53" t="n">
        <x:v>0.5</x:v>
      </x:c>
      <x:c r="J37" s="52" t="str">
        <x:v>manual</x:v>
      </x:c>
      <x:c r="K37" s="52" t="str">
        <x:v>observation_scientific_question</x:v>
      </x:c>
      <x:c r="L37" s="52" t="str">
        <x:v>Suggested 1-2 sentences</x:v>
      </x:c>
    </x:row>
    <x:row r="38" ht="58" customHeight="1">
      <x:c r="A38" s="52" t="n">
        <x:v>2</x:v>
      </x:c>
      <x:c r="B38" s="52" t="n">
        <x:v>2</x:v>
      </x:c>
      <x:c r="C38" s="52" t="str">
        <x:v>How do proteins recognize molecules and catalyze chemical reactions?</x:v>
      </x:c>
      <x:c r="D38" s="52" t="str">
        <x:v>Chapters 5-6: protein function, ligand binding, enzymes, catalysis</x:v>
      </x:c>
      <x:c r="E38" s="52" t="str">
        <x:v>CHEM214 MEN 02 - Recognition and Catalysis</x:v>
      </x:c>
      <x:c r="F38" s="52" t="str">
        <x:v>CHEM214_MEN_02_recognition_and_catalysis</x:v>
      </x:c>
      <x:c r="G38" s="52" t="str">
        <x:v>Make one concise claim connecting structure to function.</x:v>
      </x:c>
      <x:c r="H38" s="52" t="str">
        <x:v>Short answer</x:v>
      </x:c>
      <x:c r="I38" s="53" t="n">
        <x:v>0.5</x:v>
      </x:c>
      <x:c r="J38" s="52" t="str">
        <x:v>manual</x:v>
      </x:c>
      <x:c r="K38" s="52" t="str">
        <x:v>structure_function_claim</x:v>
      </x:c>
      <x:c r="L38" s="52" t="str">
        <x:v>Suggested 1 sentence</x:v>
      </x:c>
    </x:row>
    <x:row r="39" ht="58" customHeight="1">
      <x:c r="A39" s="52" t="n">
        <x:v>2</x:v>
      </x:c>
      <x:c r="B39" s="52" t="n">
        <x:v>2</x:v>
      </x:c>
      <x:c r="C39" s="52" t="str">
        <x:v>How do proteins recognize molecules and catalyze chemical reactions?</x:v>
      </x:c>
      <x:c r="D39" s="52" t="str">
        <x:v>Chapters 5-6: protein function, ligand binding, enzymes, catalysis</x:v>
      </x:c>
      <x:c r="E39" s="52" t="str">
        <x:v>CHEM214 MEN 02 - Recognition and Catalysis</x:v>
      </x:c>
      <x:c r="F39" s="52" t="str">
        <x:v>CHEM214_MEN_02_recognition_and_catalysis</x:v>
      </x:c>
      <x:c r="G39" s="52" t="str">
        <x:v>What kind of evidence most directly supports your claim?</x:v>
      </x:c>
      <x:c r="H39" s="52" t="str">
        <x:v>Dropdown</x:v>
      </x:c>
      <x:c r="I39" s="53" t="n">
        <x:v>0.25</x:v>
      </x:c>
      <x:c r="J39" s="52" t="str">
        <x:v>auto/completion</x:v>
      </x:c>
      <x:c r="K39" s="52" t="str">
        <x:v>evidence_type</x:v>
      </x:c>
      <x:c r="L39" s="52" t="str">
        <x:v>Use controlled categories for analytics</x:v>
      </x:c>
    </x:row>
    <x:row r="40" ht="58" customHeight="1">
      <x:c r="A40" s="52" t="n">
        <x:v>2</x:v>
      </x:c>
      <x:c r="B40" s="52" t="n">
        <x:v>2</x:v>
      </x:c>
      <x:c r="C40" s="52" t="str">
        <x:v>How do proteins recognize molecules and catalyze chemical reactions?</x:v>
      </x:c>
      <x:c r="D40" s="52" t="str">
        <x:v>Chapters 5-6: protein function, ligand binding, enzymes, catalysis</x:v>
      </x:c>
      <x:c r="E40" s="52" t="str">
        <x:v>CHEM214 MEN 02 - Recognition and Catalysis</x:v>
      </x:c>
      <x:c r="F40" s="52" t="str">
        <x:v>CHEM214_MEN_02_recognition_and_catalysis</x:v>
      </x:c>
      <x:c r="G40" s="52" t="str">
        <x:v>State the evidence from your screenshot or Atlas exploration.</x:v>
      </x:c>
      <x:c r="H40" s="52" t="str">
        <x:v>Short answer</x:v>
      </x:c>
      <x:c r="I40" s="53" t="n">
        <x:v>0.5</x:v>
      </x:c>
      <x:c r="J40" s="52" t="str">
        <x:v>manual</x:v>
      </x:c>
      <x:c r="K40" s="52" t="str">
        <x:v>evidence_statement</x:v>
      </x:c>
      <x:c r="L40" s="52" t="str">
        <x:v>Suggested 1-2 sentences</x:v>
      </x:c>
    </x:row>
    <x:row r="41" ht="58" customHeight="1">
      <x:c r="A41" s="52" t="n">
        <x:v>2</x:v>
      </x:c>
      <x:c r="B41" s="52" t="n">
        <x:v>2</x:v>
      </x:c>
      <x:c r="C41" s="52" t="str">
        <x:v>How do proteins recognize molecules and catalyze chemical reactions?</x:v>
      </x:c>
      <x:c r="D41" s="52" t="str">
        <x:v>Chapters 5-6: protein function, ligand binding, enzymes, catalysis</x:v>
      </x:c>
      <x:c r="E41" s="52" t="str">
        <x:v>CHEM214 MEN 02 - Recognition and Catalysis</x:v>
      </x:c>
      <x:c r="F41" s="52" t="str">
        <x:v>CHEM214_MEN_02_recognition_and_catalysis</x:v>
      </x:c>
      <x:c r="G41" s="52" t="str">
        <x:v>What is one limitation or uncertainty in your interpretation?</x:v>
      </x:c>
      <x:c r="H41" s="52" t="str">
        <x:v>Short answer</x:v>
      </x:c>
      <x:c r="I41" s="53" t="n">
        <x:v>0.25</x:v>
      </x:c>
      <x:c r="J41" s="52" t="str">
        <x:v>completion/manual</x:v>
      </x:c>
      <x:c r="K41" s="52" t="str">
        <x:v>limitation_uncertainty</x:v>
      </x:c>
      <x:c r="L41" s="52" t="str">
        <x:v>Suggested 1 sentence</x:v>
      </x:c>
    </x:row>
    <x:row r="42" ht="58" customHeight="1">
      <x:c r="A42" s="52" t="n">
        <x:v>2</x:v>
      </x:c>
      <x:c r="B42" s="52" t="n">
        <x:v>2</x:v>
      </x:c>
      <x:c r="C42" s="52" t="str">
        <x:v>How do proteins recognize molecules and catalyze chemical reactions?</x:v>
      </x:c>
      <x:c r="D42" s="52" t="str">
        <x:v>Chapters 5-6: protein function, ligand binding, enzymes, catalysis</x:v>
      </x:c>
      <x:c r="E42" s="52" t="str">
        <x:v>CHEM214 MEN 02 - Recognition and Catalysis</x:v>
      </x:c>
      <x:c r="F42" s="52" t="str">
        <x:v>CHEM214_MEN_02_recognition_and_catalysis</x:v>
      </x:c>
      <x:c r="G42" s="52" t="str">
        <x:v>How confident are you in your interpretation?</x:v>
      </x:c>
      <x:c r="H42" s="52" t="str">
        <x:v>Likert</x:v>
      </x:c>
      <x:c r="I42" s="53" t="n">
        <x:v>0.25</x:v>
      </x:c>
      <x:c r="J42" s="52" t="str">
        <x:v>auto/completion</x:v>
      </x:c>
      <x:c r="K42" s="52" t="str">
        <x:v>confidence_rating</x:v>
      </x:c>
      <x:c r="L42" s="52" t="str">
        <x:v>1 not confident to 5 very confident</x:v>
      </x:c>
    </x:row>
    <x:row r="43" ht="58" customHeight="1">
      <x:c r="A43" s="52" t="n">
        <x:v>2</x:v>
      </x:c>
      <x:c r="B43" s="52" t="n">
        <x:v>2</x:v>
      </x:c>
      <x:c r="C43" s="52" t="str">
        <x:v>How do proteins recognize molecules and catalyze chemical reactions?</x:v>
      </x:c>
      <x:c r="D43" s="52" t="str">
        <x:v>Chapters 5-6: protein function, ligand binding, enzymes, catalysis</x:v>
      </x:c>
      <x:c r="E43" s="52" t="str">
        <x:v>CHEM214 MEN 02 - Recognition and Catalysis</x:v>
      </x:c>
      <x:c r="F43" s="52" t="str">
        <x:v>CHEM214_MEN_02_recognition_and_catalysis</x:v>
      </x:c>
      <x:c r="G43" s="52" t="str">
        <x:v>How difficult was this exploration?</x:v>
      </x:c>
      <x:c r="H43" s="52" t="str">
        <x:v>Likert</x:v>
      </x:c>
      <x:c r="I43" s="53" t="n">
        <x:v>0.25</x:v>
      </x:c>
      <x:c r="J43" s="52" t="str">
        <x:v>auto/completion</x:v>
      </x:c>
      <x:c r="K43" s="52" t="str">
        <x:v>difficulty_rating</x:v>
      </x:c>
      <x:c r="L43" s="52" t="str">
        <x:v>1 very easy to 5 very difficult</x:v>
      </x:c>
    </x:row>
    <x:row r="44" ht="58" customHeight="1">
      <x:c r="A44" s="52" t="n">
        <x:v>2</x:v>
      </x:c>
      <x:c r="B44" s="52" t="n">
        <x:v>2</x:v>
      </x:c>
      <x:c r="C44" s="52" t="str">
        <x:v>How do proteins recognize molecules and catalyze chemical reactions?</x:v>
      </x:c>
      <x:c r="D44" s="52" t="str">
        <x:v>Chapters 5-6: protein function, ligand binding, enzymes, catalysis</x:v>
      </x:c>
      <x:c r="E44" s="52" t="str">
        <x:v>CHEM214 MEN 02 - Recognition and Catalysis</x:v>
      </x:c>
      <x:c r="F44" s="52" t="str">
        <x:v>CHEM214_MEN_02_recognition_and_catalysis</x:v>
      </x:c>
      <x:c r="G44" s="52" t="str">
        <x:v>How useful was the Atlas for understanding this week?</x:v>
      </x:c>
      <x:c r="H44" s="52" t="str">
        <x:v>Likert</x:v>
      </x:c>
      <x:c r="I44" s="53" t="n">
        <x:v>0.25</x:v>
      </x:c>
      <x:c r="J44" s="52" t="str">
        <x:v>auto/completion</x:v>
      </x:c>
      <x:c r="K44" s="52" t="str">
        <x:v>usefulness_rating</x:v>
      </x:c>
      <x:c r="L44" s="52" t="str">
        <x:v>1 not useful to 5 very useful</x:v>
      </x:c>
    </x:row>
    <x:row r="45" ht="58" customHeight="1">
      <x:c r="A45" s="52" t="n">
        <x:v>2</x:v>
      </x:c>
      <x:c r="B45" s="52" t="n">
        <x:v>2</x:v>
      </x:c>
      <x:c r="C45" s="52" t="str">
        <x:v>How do proteins recognize molecules and catalyze chemical reactions?</x:v>
      </x:c>
      <x:c r="D45" s="52" t="str">
        <x:v>Chapters 5-6: protein function, ligand binding, enzymes, catalysis</x:v>
      </x:c>
      <x:c r="E45" s="52" t="str">
        <x:v>CHEM214 MEN 02 - Recognition and Catalysis</x:v>
      </x:c>
      <x:c r="F45" s="52" t="str">
        <x:v>CHEM214_MEN_02_recognition_and_catalysis</x:v>
      </x:c>
      <x:c r="G45" s="52" t="str">
        <x:v>About how long did this entry take?</x:v>
      </x:c>
      <x:c r="H45" s="52" t="str">
        <x:v>Multiple choice</x:v>
      </x:c>
      <x:c r="I45" s="53" t="n">
        <x:v>0.25</x:v>
      </x:c>
      <x:c r="J45" s="52" t="str">
        <x:v>auto/completion</x:v>
      </x:c>
      <x:c r="K45" s="52" t="str">
        <x:v>time_on_task</x:v>
      </x:c>
      <x:c r="L45" s="52" t="str">
        <x:v>under 10; 10-15; 15-25; 25-35; over 35 minutes</x:v>
      </x:c>
    </x:row>
    <x:row r="46" ht="58" customHeight="1">
      <x:c r="A46" s="52" t="n">
        <x:v>2</x:v>
      </x:c>
      <x:c r="B46" s="52" t="n">
        <x:v>2</x:v>
      </x:c>
      <x:c r="C46" s="52" t="str">
        <x:v>How do proteins recognize molecules and catalyze chemical reactions?</x:v>
      </x:c>
      <x:c r="D46" s="52" t="str">
        <x:v>Chapters 5-6: protein function, ligand binding, enzymes, catalysis</x:v>
      </x:c>
      <x:c r="E46" s="52" t="str">
        <x:v>CHEM214 MEN 02 - Recognition and Catalysis</x:v>
      </x:c>
      <x:c r="F46" s="52" t="str">
        <x:v>CHEM214_MEN_02_recognition_and_catalysis</x:v>
      </x:c>
      <x:c r="G46" s="52" t="str">
        <x:v>What is one thing that still feels unclear?</x:v>
      </x:c>
      <x:c r="H46" s="52" t="str">
        <x:v>Short answer</x:v>
      </x:c>
      <x:c r="I46" s="53" t="n">
        <x:v>0.5</x:v>
      </x:c>
      <x:c r="J46" s="52" t="str">
        <x:v>completion</x:v>
      </x:c>
      <x:c r="K46" s="52" t="str">
        <x:v>muddiest_point</x:v>
      </x:c>
      <x:c r="L46" s="52" t="str">
        <x:v>Suggested 1 sentence</x:v>
      </x:c>
    </x:row>
    <x:row r="47" ht="58" customHeight="1">
      <x:c r="A47" s="52" t="n">
        <x:v>2</x:v>
      </x:c>
      <x:c r="B47" s="52" t="n">
        <x:v>2</x:v>
      </x:c>
      <x:c r="C47" s="52" t="str">
        <x:v>How do proteins recognize molecules and catalyze chemical reactions?</x:v>
      </x:c>
      <x:c r="D47" s="52" t="str">
        <x:v>Chapters 5-6: protein function, ligand binding, enzymes, catalysis</x:v>
      </x:c>
      <x:c r="E47" s="52" t="str">
        <x:v>CHEM214 MEN 02 - Recognition and Catalysis</x:v>
      </x:c>
      <x:c r="F47" s="52" t="str">
        <x:v>CHEM214_MEN_02_recognition_and_catalysis</x:v>
      </x:c>
      <x:c r="G47" s="52" t="str">
        <x:v>What feature did you investigate?</x:v>
      </x:c>
      <x:c r="H47" s="52" t="str">
        <x:v>Dropdown</x:v>
      </x:c>
      <x:c r="I47" s="53" t="n">
        <x:v>0.25</x:v>
      </x:c>
      <x:c r="J47" s="52" t="str">
        <x:v>auto/completion</x:v>
      </x:c>
      <x:c r="K47" s="52" t="str">
        <x:v>recognition_feature_type</x:v>
      </x:c>
      <x:c r="L47" s="52" t="str">
        <x:v>Entry 2 only: ligand, substrate analog, inhibitor, cofactor, catalytic residue, metal ion, binding pocket, other/unsure</x:v>
      </x:c>
    </x:row>
    <x:row r="48" ht="58" customHeight="1">
      <x:c r="A48" s="52" t="n">
        <x:v>2</x:v>
      </x:c>
      <x:c r="B48" s="52" t="n">
        <x:v>2</x:v>
      </x:c>
      <x:c r="C48" s="52" t="str">
        <x:v>How do proteins recognize molecules and catalyze chemical reactions?</x:v>
      </x:c>
      <x:c r="D48" s="52" t="str">
        <x:v>Chapters 5-6: protein function, ligand binding, enzymes, catalysis</x:v>
      </x:c>
      <x:c r="E48" s="52" t="str">
        <x:v>CHEM214 MEN 02 - Recognition and Catalysis</x:v>
      </x:c>
      <x:c r="F48" s="52" t="str">
        <x:v>CHEM214_MEN_02_recognition_and_catalysis</x:v>
      </x:c>
      <x:c r="G48" s="52" t="str">
        <x:v>Which recognition features did you observe?</x:v>
      </x:c>
      <x:c r="H48" s="52" t="str">
        <x:v>Checkbox</x:v>
      </x:c>
      <x:c r="I48" s="53" t="n">
        <x:v>0.25</x:v>
      </x:c>
      <x:c r="J48" s="52" t="str">
        <x:v>completion</x:v>
      </x:c>
      <x:c r="K48" s="52" t="str">
        <x:v>recognition_features_observed</x:v>
      </x:c>
      <x:c r="L48" s="52" t="str">
        <x:v>Entry 2 only; select all that apply</x:v>
      </x:c>
    </x:row>
    <x:row r="49" ht="58" customHeight="1">
      <x:c r="A49" s="52" t="n">
        <x:v>2</x:v>
      </x:c>
      <x:c r="B49" s="52" t="n">
        <x:v>2</x:v>
      </x:c>
      <x:c r="C49" s="52" t="str">
        <x:v>How do proteins recognize molecules and catalyze chemical reactions?</x:v>
      </x:c>
      <x:c r="D49" s="52" t="str">
        <x:v>Chapters 5-6: protein function, ligand binding, enzymes, catalysis</x:v>
      </x:c>
      <x:c r="E49" s="52" t="str">
        <x:v>CHEM214 MEN 02 - Recognition and Catalysis</x:v>
      </x:c>
      <x:c r="F49" s="52" t="str">
        <x:v>CHEM214_MEN_02_recognition_and_catalysis</x:v>
      </x:c>
      <x:c r="G49" s="52" t="str">
        <x:v>Which molecule or residue is being recognized?</x:v>
      </x:c>
      <x:c r="H49" s="52" t="str">
        <x:v>Short answer</x:v>
      </x:c>
      <x:c r="I49" s="53" t="n">
        <x:v>0.25</x:v>
      </x:c>
      <x:c r="J49" s="52" t="str">
        <x:v>completion</x:v>
      </x:c>
      <x:c r="K49" s="52" t="str">
        <x:v>recognized_molecule_or_residue</x:v>
      </x:c>
      <x:c r="L49" s="52" t="str">
        <x:v>Entry 2 only</x:v>
      </x:c>
    </x:row>
    <x:row r="50" ht="58" customHeight="1">
      <x:c r="A50" s="52" t="n">
        <x:v>2</x:v>
      </x:c>
      <x:c r="B50" s="52" t="n">
        <x:v>2</x:v>
      </x:c>
      <x:c r="C50" s="52" t="str">
        <x:v>How do proteins recognize molecules and catalyze chemical reactions?</x:v>
      </x:c>
      <x:c r="D50" s="52" t="str">
        <x:v>Chapters 5-6: protein function, ligand binding, enzymes, catalysis</x:v>
      </x:c>
      <x:c r="E50" s="52" t="str">
        <x:v>CHEM214 MEN 02 - Recognition and Catalysis</x:v>
      </x:c>
      <x:c r="F50" s="52" t="str">
        <x:v>CHEM214_MEN_02_recognition_and_catalysis</x:v>
      </x:c>
      <x:c r="G50" s="52" t="str">
        <x:v>What structural feature helps recognition?</x:v>
      </x:c>
      <x:c r="H50" s="52" t="str">
        <x:v>Short answer</x:v>
      </x:c>
      <x:c r="I50" s="53" t="n">
        <x:v>0.75</x:v>
      </x:c>
      <x:c r="J50" s="52" t="str">
        <x:v>manual</x:v>
      </x:c>
      <x:c r="K50" s="52" t="str">
        <x:v>recognition_structure_detail</x:v>
      </x:c>
      <x:c r="L50" s="52" t="str">
        <x:v>Entry 2 only; suggested 1-2 sentences</x:v>
      </x:c>
    </x:row>
    <x:row r="51" ht="58" customHeight="1">
      <x:c r="A51" s="52" t="n">
        <x:v>2</x:v>
      </x:c>
      <x:c r="B51" s="52" t="n">
        <x:v>2</x:v>
      </x:c>
      <x:c r="C51" s="52" t="str">
        <x:v>How do proteins recognize molecules and catalyze chemical reactions?</x:v>
      </x:c>
      <x:c r="D51" s="52" t="str">
        <x:v>Chapters 5-6: protein function, ligand binding, enzymes, catalysis</x:v>
      </x:c>
      <x:c r="E51" s="52" t="str">
        <x:v>CHEM214 MEN 02 - Recognition and Catalysis</x:v>
      </x:c>
      <x:c r="F51" s="52" t="str">
        <x:v>CHEM214_MEN_02_recognition_and_catalysis</x:v>
      </x:c>
      <x:c r="G51" s="52" t="str">
        <x:v>How could this structure support catalysis?</x:v>
      </x:c>
      <x:c r="H51" s="52" t="str">
        <x:v>Short answer</x:v>
      </x:c>
      <x:c r="I51" s="53" t="n">
        <x:v>1</x:v>
      </x:c>
      <x:c r="J51" s="52" t="str">
        <x:v>manual</x:v>
      </x:c>
      <x:c r="K51" s="52" t="str">
        <x:v>catalysis_connection</x:v>
      </x:c>
      <x:c r="L51" s="52" t="str">
        <x:v>Entry 2 only; suggested 1-2 sentences</x:v>
      </x:c>
    </x:row>
    <x:row r="52" ht="58" customHeight="1">
      <x:c r="A52" s="52" t="n">
        <x:v>3</x:v>
      </x:c>
      <x:c r="B52" s="52" t="n">
        <x:v>3</x:v>
      </x:c>
      <x:c r="C52" s="52" t="str">
        <x:v>How do cells organize molecules into functional systems?</x:v>
      </x:c>
      <x:c r="D52" s="52" t="str">
        <x:v>Chapters 7-8, 13: carbohydrates, membranes, transport, signaling, metabolism overview</x:v>
      </x:c>
      <x:c r="E52" s="52" t="str">
        <x:v>CHEM214 MEN 03 - Molecules in Systems</x:v>
      </x:c>
      <x:c r="F52" s="52" t="str">
        <x:v>CHEM214_MEN_03_molecules_in_systems</x:v>
      </x:c>
      <x:c r="G52" s="52" t="str">
        <x:v>Which Molecular Exploration Notebook entry are you completing?</x:v>
      </x:c>
      <x:c r="H52" s="52" t="str">
        <x:v>Multiple choice</x:v>
      </x:c>
      <x:c r="I52" s="53" t="n">
        <x:v>0</x:v>
      </x:c>
      <x:c r="J52" s="52" t="str">
        <x:v>auto/completion</x:v>
      </x:c>
      <x:c r="K52" s="52" t="str">
        <x:v>entry_id</x:v>
      </x:c>
      <x:c r="L52" s="52" t="str">
        <x:v>Identifier only; use in Canvas and Qualtrics exports</x:v>
      </x:c>
    </x:row>
    <x:row r="53" ht="58" customHeight="1">
      <x:c r="A53" s="52" t="n">
        <x:v>3</x:v>
      </x:c>
      <x:c r="B53" s="52" t="n">
        <x:v>3</x:v>
      </x:c>
      <x:c r="C53" s="52" t="str">
        <x:v>How do cells organize molecules into functional systems?</x:v>
      </x:c>
      <x:c r="D53" s="52" t="str">
        <x:v>Chapters 7-8, 13: carbohydrates, membranes, transport, signaling, metabolism overview</x:v>
      </x:c>
      <x:c r="E53" s="52" t="str">
        <x:v>CHEM214 MEN 03 - Molecules in Systems</x:v>
      </x:c>
      <x:c r="F53" s="52" t="str">
        <x:v>CHEM214_MEN_03_molecules_in_systems</x:v>
      </x:c>
      <x:c r="G53" s="52" t="str">
        <x:v>Enter the protein, molecule, or structure name you explored.</x:v>
      </x:c>
      <x:c r="H53" s="52" t="str">
        <x:v>Short answer</x:v>
      </x:c>
      <x:c r="I53" s="53" t="n">
        <x:v>0.25</x:v>
      </x:c>
      <x:c r="J53" s="52" t="str">
        <x:v>completion</x:v>
      </x:c>
      <x:c r="K53" s="52" t="str">
        <x:v>protein_name</x:v>
      </x:c>
      <x:c r="L53" s="52" t="str">
        <x:v>Required short text</x:v>
      </x:c>
    </x:row>
    <x:row r="54" ht="58" customHeight="1">
      <x:c r="A54" s="52" t="n">
        <x:v>3</x:v>
      </x:c>
      <x:c r="B54" s="52" t="n">
        <x:v>3</x:v>
      </x:c>
      <x:c r="C54" s="52" t="str">
        <x:v>How do cells organize molecules into functional systems?</x:v>
      </x:c>
      <x:c r="D54" s="52" t="str">
        <x:v>Chapters 7-8, 13: carbohydrates, membranes, transport, signaling, metabolism overview</x:v>
      </x:c>
      <x:c r="E54" s="52" t="str">
        <x:v>CHEM214 MEN 03 - Molecules in Systems</x:v>
      </x:c>
      <x:c r="F54" s="52" t="str">
        <x:v>CHEM214_MEN_03_molecules_in_systems</x:v>
      </x:c>
      <x:c r="G54" s="52" t="str">
        <x:v>Enter the 4-character PDB ID used in the Atlas, if available.</x:v>
      </x:c>
      <x:c r="H54" s="52" t="str">
        <x:v>Short answer</x:v>
      </x:c>
      <x:c r="I54" s="53" t="n">
        <x:v>0.25</x:v>
      </x:c>
      <x:c r="J54" s="52" t="str">
        <x:v>completion</x:v>
      </x:c>
      <x:c r="K54" s="52" t="str">
        <x:v>pdb_id</x:v>
      </x:c>
      <x:c r="L54" s="52" t="str">
        <x:v>Validate as 4 alphanumeric characters when possible</x:v>
      </x:c>
    </x:row>
    <x:row r="55" ht="58" customHeight="1">
      <x:c r="A55" s="52" t="n">
        <x:v>3</x:v>
      </x:c>
      <x:c r="B55" s="52" t="n">
        <x:v>3</x:v>
      </x:c>
      <x:c r="C55" s="52" t="str">
        <x:v>How do cells organize molecules into functional systems?</x:v>
      </x:c>
      <x:c r="D55" s="52" t="str">
        <x:v>Chapters 7-8, 13: carbohydrates, membranes, transport, signaling, metabolism overview</x:v>
      </x:c>
      <x:c r="E55" s="52" t="str">
        <x:v>CHEM214 MEN 03 - Molecules in Systems</x:v>
      </x:c>
      <x:c r="F55" s="52" t="str">
        <x:v>CHEM214_MEN_03_molecules_in_systems</x:v>
      </x:c>
      <x:c r="G55" s="52" t="str">
        <x:v>Which category best describes your selected structure?</x:v>
      </x:c>
      <x:c r="H55" s="52" t="str">
        <x:v>Dropdown</x:v>
      </x:c>
      <x:c r="I55" s="53" t="n">
        <x:v>0.25</x:v>
      </x:c>
      <x:c r="J55" s="52" t="str">
        <x:v>auto/completion</x:v>
      </x:c>
      <x:c r="K55" s="52" t="str">
        <x:v>molecular_class</x:v>
      </x:c>
      <x:c r="L55" s="52" t="str">
        <x:v>Use controlled categories for analytics</x:v>
      </x:c>
    </x:row>
    <x:row r="56" ht="58" customHeight="1">
      <x:c r="A56" s="52" t="n">
        <x:v>3</x:v>
      </x:c>
      <x:c r="B56" s="52" t="n">
        <x:v>3</x:v>
      </x:c>
      <x:c r="C56" s="52" t="str">
        <x:v>How do cells organize molecules into functional systems?</x:v>
      </x:c>
      <x:c r="D56" s="52" t="str">
        <x:v>Chapters 7-8, 13: carbohydrates, membranes, transport, signaling, metabolism overview</x:v>
      </x:c>
      <x:c r="E56" s="52" t="str">
        <x:v>CHEM214 MEN 03 - Molecules in Systems</x:v>
      </x:c>
      <x:c r="F56" s="52" t="str">
        <x:v>CHEM214_MEN_03_molecules_in_systems</x:v>
      </x:c>
      <x:c r="G56" s="52" t="str">
        <x:v>Which Atlas tools did you use? Select all that apply.</x:v>
      </x:c>
      <x:c r="H56" s="52" t="str">
        <x:v>Checkbox</x:v>
      </x:c>
      <x:c r="I56" s="53" t="n">
        <x:v>0.25</x:v>
      </x:c>
      <x:c r="J56" s="52" t="str">
        <x:v>completion</x:v>
      </x:c>
      <x:c r="K56" s="52" t="str">
        <x:v>atlas_features_used</x:v>
      </x:c>
      <x:c r="L56" s="52" t="str">
        <x:v>Useful for feature-use analytics</x:v>
      </x:c>
    </x:row>
    <x:row r="57" ht="58" customHeight="1">
      <x:c r="A57" s="52" t="n">
        <x:v>3</x:v>
      </x:c>
      <x:c r="B57" s="52" t="n">
        <x:v>3</x:v>
      </x:c>
      <x:c r="C57" s="52" t="str">
        <x:v>How do cells organize molecules into functional systems?</x:v>
      </x:c>
      <x:c r="D57" s="52" t="str">
        <x:v>Chapters 7-8, 13: carbohydrates, membranes, transport, signaling, metabolism overview</x:v>
      </x:c>
      <x:c r="E57" s="52" t="str">
        <x:v>CHEM214 MEN 03 - Molecules in Systems</x:v>
      </x:c>
      <x:c r="F57" s="52" t="str">
        <x:v>CHEM214_MEN_03_molecules_in_systems</x:v>
      </x:c>
      <x:c r="G57" s="52" t="str">
        <x:v>Upload one screenshot from the Biochemistry Visual Atlas that supports your observations.</x:v>
      </x:c>
      <x:c r="H57" s="52" t="str">
        <x:v>File upload</x:v>
      </x:c>
      <x:c r="I57" s="53" t="n">
        <x:v>1.5</x:v>
      </x:c>
      <x:c r="J57" s="52" t="str">
        <x:v>manual/completion</x:v>
      </x:c>
      <x:c r="K57" s="52" t="str">
        <x:v>screenshot_upload</x:v>
      </x:c>
      <x:c r="L57" s="52" t="str">
        <x:v>One screenshot per notebook entry</x:v>
      </x:c>
    </x:row>
    <x:row r="58" ht="58" customHeight="1">
      <x:c r="A58" s="52" t="n">
        <x:v>3</x:v>
      </x:c>
      <x:c r="B58" s="52" t="n">
        <x:v>3</x:v>
      </x:c>
      <x:c r="C58" s="52" t="str">
        <x:v>How do cells organize molecules into functional systems?</x:v>
      </x:c>
      <x:c r="D58" s="52" t="str">
        <x:v>Chapters 7-8, 13: carbohydrates, membranes, transport, signaling, metabolism overview</x:v>
      </x:c>
      <x:c r="E58" s="52" t="str">
        <x:v>CHEM214 MEN 03 - Molecules in Systems</x:v>
      </x:c>
      <x:c r="F58" s="52" t="str">
        <x:v>CHEM214_MEN_03_molecules_in_systems</x:v>
      </x:c>
      <x:c r="G58" s="52" t="str">
        <x:v>Write a one-sentence caption explaining what your screenshot shows.</x:v>
      </x:c>
      <x:c r="H58" s="52" t="str">
        <x:v>Short answer</x:v>
      </x:c>
      <x:c r="I58" s="53" t="n">
        <x:v>0.5</x:v>
      </x:c>
      <x:c r="J58" s="52" t="str">
        <x:v>manual/completion</x:v>
      </x:c>
      <x:c r="K58" s="52" t="str">
        <x:v>screenshot_caption</x:v>
      </x:c>
      <x:c r="L58" s="52" t="str">
        <x:v>Suggested 15-35 words</x:v>
      </x:c>
    </x:row>
    <x:row r="59" ht="58" customHeight="1">
      <x:c r="A59" s="52" t="n">
        <x:v>3</x:v>
      </x:c>
      <x:c r="B59" s="52" t="n">
        <x:v>3</x:v>
      </x:c>
      <x:c r="C59" s="52" t="str">
        <x:v>How do cells organize molecules into functional systems?</x:v>
      </x:c>
      <x:c r="D59" s="52" t="str">
        <x:v>Chapters 7-8, 13: carbohydrates, membranes, transport, signaling, metabolism overview</x:v>
      </x:c>
      <x:c r="E59" s="52" t="str">
        <x:v>CHEM214 MEN 03 - Molecules in Systems</x:v>
      </x:c>
      <x:c r="F59" s="52" t="str">
        <x:v>CHEM214_MEN_03_molecules_in_systems</x:v>
      </x:c>
      <x:c r="G59" s="52" t="str">
        <x:v>Which structural feature is most important in your screenshot?</x:v>
      </x:c>
      <x:c r="H59" s="52" t="str">
        <x:v>Dropdown</x:v>
      </x:c>
      <x:c r="I59" s="53" t="n">
        <x:v>0.25</x:v>
      </x:c>
      <x:c r="J59" s="52" t="str">
        <x:v>auto/completion</x:v>
      </x:c>
      <x:c r="K59" s="52" t="str">
        <x:v>key_structural_feature</x:v>
      </x:c>
      <x:c r="L59" s="52" t="str">
        <x:v>Use controlled categories for analytics</x:v>
      </x:c>
    </x:row>
    <x:row r="60" ht="58" customHeight="1">
      <x:c r="A60" s="52" t="n">
        <x:v>3</x:v>
      </x:c>
      <x:c r="B60" s="52" t="n">
        <x:v>3</x:v>
      </x:c>
      <x:c r="C60" s="52" t="str">
        <x:v>How do cells organize molecules into functional systems?</x:v>
      </x:c>
      <x:c r="D60" s="52" t="str">
        <x:v>Chapters 7-8, 13: carbohydrates, membranes, transport, signaling, metabolism overview</x:v>
      </x:c>
      <x:c r="E60" s="52" t="str">
        <x:v>CHEM214 MEN 03 - Molecules in Systems</x:v>
      </x:c>
      <x:c r="F60" s="52" t="str">
        <x:v>CHEM214_MEN_03_molecules_in_systems</x:v>
      </x:c>
      <x:c r="G60" s="52" t="str">
        <x:v>Which molecular interactions or chemical features did you observe? Select all that apply.</x:v>
      </x:c>
      <x:c r="H60" s="52" t="str">
        <x:v>Checkbox</x:v>
      </x:c>
      <x:c r="I60" s="53" t="n">
        <x:v>0.25</x:v>
      </x:c>
      <x:c r="J60" s="52" t="str">
        <x:v>completion</x:v>
      </x:c>
      <x:c r="K60" s="52" t="str">
        <x:v>interaction_features</x:v>
      </x:c>
      <x:c r="L60" s="52" t="str">
        <x:v>Use controlled categories for analytics</x:v>
      </x:c>
    </x:row>
    <x:row r="61" ht="58" customHeight="1">
      <x:c r="A61" s="52" t="n">
        <x:v>3</x:v>
      </x:c>
      <x:c r="B61" s="52" t="n">
        <x:v>3</x:v>
      </x:c>
      <x:c r="C61" s="52" t="str">
        <x:v>How do cells organize molecules into functional systems?</x:v>
      </x:c>
      <x:c r="D61" s="52" t="str">
        <x:v>Chapters 7-8, 13: carbohydrates, membranes, transport, signaling, metabolism overview</x:v>
      </x:c>
      <x:c r="E61" s="52" t="str">
        <x:v>CHEM214 MEN 03 - Molecules in Systems</x:v>
      </x:c>
      <x:c r="F61" s="52" t="str">
        <x:v>CHEM214_MEN_03_molecules_in_systems</x:v>
      </x:c>
      <x:c r="G61" s="52" t="str">
        <x:v>What is one specific molecular detail you noticed?</x:v>
      </x:c>
      <x:c r="H61" s="52" t="str">
        <x:v>Short answer</x:v>
      </x:c>
      <x:c r="I61" s="53" t="n">
        <x:v>0.5</x:v>
      </x:c>
      <x:c r="J61" s="52" t="str">
        <x:v>completion/manual spot check</x:v>
      </x:c>
      <x:c r="K61" s="52" t="str">
        <x:v>observation_specific_detail</x:v>
      </x:c>
      <x:c r="L61" s="52" t="str">
        <x:v>Suggested 1-2 sentences</x:v>
      </x:c>
    </x:row>
    <x:row r="62" ht="58" customHeight="1">
      <x:c r="A62" s="52" t="n">
        <x:v>3</x:v>
      </x:c>
      <x:c r="B62" s="52" t="n">
        <x:v>3</x:v>
      </x:c>
      <x:c r="C62" s="52" t="str">
        <x:v>How do cells organize molecules into functional systems?</x:v>
      </x:c>
      <x:c r="D62" s="52" t="str">
        <x:v>Chapters 7-8, 13: carbohydrates, membranes, transport, signaling, metabolism overview</x:v>
      </x:c>
      <x:c r="E62" s="52" t="str">
        <x:v>CHEM214 MEN 03 - Molecules in Systems</x:v>
      </x:c>
      <x:c r="F62" s="52" t="str">
        <x:v>CHEM214_MEN_03_molecules_in_systems</x:v>
      </x:c>
      <x:c r="G62" s="52" t="str">
        <x:v>How does this detail relate to the weekly scientific question?</x:v>
      </x:c>
      <x:c r="H62" s="52" t="str">
        <x:v>Short answer</x:v>
      </x:c>
      <x:c r="I62" s="53" t="n">
        <x:v>0.5</x:v>
      </x:c>
      <x:c r="J62" s="52" t="str">
        <x:v>manual</x:v>
      </x:c>
      <x:c r="K62" s="52" t="str">
        <x:v>observation_scientific_question</x:v>
      </x:c>
      <x:c r="L62" s="52" t="str">
        <x:v>Suggested 1-2 sentences</x:v>
      </x:c>
    </x:row>
    <x:row r="63" ht="58" customHeight="1">
      <x:c r="A63" s="52" t="n">
        <x:v>3</x:v>
      </x:c>
      <x:c r="B63" s="52" t="n">
        <x:v>3</x:v>
      </x:c>
      <x:c r="C63" s="52" t="str">
        <x:v>How do cells organize molecules into functional systems?</x:v>
      </x:c>
      <x:c r="D63" s="52" t="str">
        <x:v>Chapters 7-8, 13: carbohydrates, membranes, transport, signaling, metabolism overview</x:v>
      </x:c>
      <x:c r="E63" s="52" t="str">
        <x:v>CHEM214 MEN 03 - Molecules in Systems</x:v>
      </x:c>
      <x:c r="F63" s="52" t="str">
        <x:v>CHEM214_MEN_03_molecules_in_systems</x:v>
      </x:c>
      <x:c r="G63" s="52" t="str">
        <x:v>Make one concise claim connecting structure to function.</x:v>
      </x:c>
      <x:c r="H63" s="52" t="str">
        <x:v>Short answer</x:v>
      </x:c>
      <x:c r="I63" s="53" t="n">
        <x:v>0.5</x:v>
      </x:c>
      <x:c r="J63" s="52" t="str">
        <x:v>manual</x:v>
      </x:c>
      <x:c r="K63" s="52" t="str">
        <x:v>structure_function_claim</x:v>
      </x:c>
      <x:c r="L63" s="52" t="str">
        <x:v>Suggested 1 sentence</x:v>
      </x:c>
    </x:row>
    <x:row r="64" ht="58" customHeight="1">
      <x:c r="A64" s="52" t="n">
        <x:v>3</x:v>
      </x:c>
      <x:c r="B64" s="52" t="n">
        <x:v>3</x:v>
      </x:c>
      <x:c r="C64" s="52" t="str">
        <x:v>How do cells organize molecules into functional systems?</x:v>
      </x:c>
      <x:c r="D64" s="52" t="str">
        <x:v>Chapters 7-8, 13: carbohydrates, membranes, transport, signaling, metabolism overview</x:v>
      </x:c>
      <x:c r="E64" s="52" t="str">
        <x:v>CHEM214 MEN 03 - Molecules in Systems</x:v>
      </x:c>
      <x:c r="F64" s="52" t="str">
        <x:v>CHEM214_MEN_03_molecules_in_systems</x:v>
      </x:c>
      <x:c r="G64" s="52" t="str">
        <x:v>What kind of evidence most directly supports your claim?</x:v>
      </x:c>
      <x:c r="H64" s="52" t="str">
        <x:v>Dropdown</x:v>
      </x:c>
      <x:c r="I64" s="53" t="n">
        <x:v>0.25</x:v>
      </x:c>
      <x:c r="J64" s="52" t="str">
        <x:v>auto/completion</x:v>
      </x:c>
      <x:c r="K64" s="52" t="str">
        <x:v>evidence_type</x:v>
      </x:c>
      <x:c r="L64" s="52" t="str">
        <x:v>Use controlled categories for analytics</x:v>
      </x:c>
    </x:row>
    <x:row r="65" ht="58" customHeight="1">
      <x:c r="A65" s="52" t="n">
        <x:v>3</x:v>
      </x:c>
      <x:c r="B65" s="52" t="n">
        <x:v>3</x:v>
      </x:c>
      <x:c r="C65" s="52" t="str">
        <x:v>How do cells organize molecules into functional systems?</x:v>
      </x:c>
      <x:c r="D65" s="52" t="str">
        <x:v>Chapters 7-8, 13: carbohydrates, membranes, transport, signaling, metabolism overview</x:v>
      </x:c>
      <x:c r="E65" s="52" t="str">
        <x:v>CHEM214 MEN 03 - Molecules in Systems</x:v>
      </x:c>
      <x:c r="F65" s="52" t="str">
        <x:v>CHEM214_MEN_03_molecules_in_systems</x:v>
      </x:c>
      <x:c r="G65" s="52" t="str">
        <x:v>State the evidence from your screenshot or Atlas exploration.</x:v>
      </x:c>
      <x:c r="H65" s="52" t="str">
        <x:v>Short answer</x:v>
      </x:c>
      <x:c r="I65" s="53" t="n">
        <x:v>0.5</x:v>
      </x:c>
      <x:c r="J65" s="52" t="str">
        <x:v>manual</x:v>
      </x:c>
      <x:c r="K65" s="52" t="str">
        <x:v>evidence_statement</x:v>
      </x:c>
      <x:c r="L65" s="52" t="str">
        <x:v>Suggested 1-2 sentences</x:v>
      </x:c>
    </x:row>
    <x:row r="66" ht="58" customHeight="1">
      <x:c r="A66" s="52" t="n">
        <x:v>3</x:v>
      </x:c>
      <x:c r="B66" s="52" t="n">
        <x:v>3</x:v>
      </x:c>
      <x:c r="C66" s="52" t="str">
        <x:v>How do cells organize molecules into functional systems?</x:v>
      </x:c>
      <x:c r="D66" s="52" t="str">
        <x:v>Chapters 7-8, 13: carbohydrates, membranes, transport, signaling, metabolism overview</x:v>
      </x:c>
      <x:c r="E66" s="52" t="str">
        <x:v>CHEM214 MEN 03 - Molecules in Systems</x:v>
      </x:c>
      <x:c r="F66" s="52" t="str">
        <x:v>CHEM214_MEN_03_molecules_in_systems</x:v>
      </x:c>
      <x:c r="G66" s="52" t="str">
        <x:v>What is one limitation or uncertainty in your interpretation?</x:v>
      </x:c>
      <x:c r="H66" s="52" t="str">
        <x:v>Short answer</x:v>
      </x:c>
      <x:c r="I66" s="53" t="n">
        <x:v>0.25</x:v>
      </x:c>
      <x:c r="J66" s="52" t="str">
        <x:v>completion/manual</x:v>
      </x:c>
      <x:c r="K66" s="52" t="str">
        <x:v>limitation_uncertainty</x:v>
      </x:c>
      <x:c r="L66" s="52" t="str">
        <x:v>Suggested 1 sentence</x:v>
      </x:c>
    </x:row>
    <x:row r="67" ht="58" customHeight="1">
      <x:c r="A67" s="52" t="n">
        <x:v>3</x:v>
      </x:c>
      <x:c r="B67" s="52" t="n">
        <x:v>3</x:v>
      </x:c>
      <x:c r="C67" s="52" t="str">
        <x:v>How do cells organize molecules into functional systems?</x:v>
      </x:c>
      <x:c r="D67" s="52" t="str">
        <x:v>Chapters 7-8, 13: carbohydrates, membranes, transport, signaling, metabolism overview</x:v>
      </x:c>
      <x:c r="E67" s="52" t="str">
        <x:v>CHEM214 MEN 03 - Molecules in Systems</x:v>
      </x:c>
      <x:c r="F67" s="52" t="str">
        <x:v>CHEM214_MEN_03_molecules_in_systems</x:v>
      </x:c>
      <x:c r="G67" s="52" t="str">
        <x:v>How confident are you in your interpretation?</x:v>
      </x:c>
      <x:c r="H67" s="52" t="str">
        <x:v>Likert</x:v>
      </x:c>
      <x:c r="I67" s="53" t="n">
        <x:v>0.25</x:v>
      </x:c>
      <x:c r="J67" s="52" t="str">
        <x:v>auto/completion</x:v>
      </x:c>
      <x:c r="K67" s="52" t="str">
        <x:v>confidence_rating</x:v>
      </x:c>
      <x:c r="L67" s="52" t="str">
        <x:v>1 not confident to 5 very confident</x:v>
      </x:c>
    </x:row>
    <x:row r="68" ht="58" customHeight="1">
      <x:c r="A68" s="52" t="n">
        <x:v>3</x:v>
      </x:c>
      <x:c r="B68" s="52" t="n">
        <x:v>3</x:v>
      </x:c>
      <x:c r="C68" s="52" t="str">
        <x:v>How do cells organize molecules into functional systems?</x:v>
      </x:c>
      <x:c r="D68" s="52" t="str">
        <x:v>Chapters 7-8, 13: carbohydrates, membranes, transport, signaling, metabolism overview</x:v>
      </x:c>
      <x:c r="E68" s="52" t="str">
        <x:v>CHEM214 MEN 03 - Molecules in Systems</x:v>
      </x:c>
      <x:c r="F68" s="52" t="str">
        <x:v>CHEM214_MEN_03_molecules_in_systems</x:v>
      </x:c>
      <x:c r="G68" s="52" t="str">
        <x:v>How difficult was this exploration?</x:v>
      </x:c>
      <x:c r="H68" s="52" t="str">
        <x:v>Likert</x:v>
      </x:c>
      <x:c r="I68" s="53" t="n">
        <x:v>0.25</x:v>
      </x:c>
      <x:c r="J68" s="52" t="str">
        <x:v>auto/completion</x:v>
      </x:c>
      <x:c r="K68" s="52" t="str">
        <x:v>difficulty_rating</x:v>
      </x:c>
      <x:c r="L68" s="52" t="str">
        <x:v>1 very easy to 5 very difficult</x:v>
      </x:c>
    </x:row>
    <x:row r="69" ht="58" customHeight="1">
      <x:c r="A69" s="52" t="n">
        <x:v>3</x:v>
      </x:c>
      <x:c r="B69" s="52" t="n">
        <x:v>3</x:v>
      </x:c>
      <x:c r="C69" s="52" t="str">
        <x:v>How do cells organize molecules into functional systems?</x:v>
      </x:c>
      <x:c r="D69" s="52" t="str">
        <x:v>Chapters 7-8, 13: carbohydrates, membranes, transport, signaling, metabolism overview</x:v>
      </x:c>
      <x:c r="E69" s="52" t="str">
        <x:v>CHEM214 MEN 03 - Molecules in Systems</x:v>
      </x:c>
      <x:c r="F69" s="52" t="str">
        <x:v>CHEM214_MEN_03_molecules_in_systems</x:v>
      </x:c>
      <x:c r="G69" s="52" t="str">
        <x:v>How useful was the Atlas for understanding this week?</x:v>
      </x:c>
      <x:c r="H69" s="52" t="str">
        <x:v>Likert</x:v>
      </x:c>
      <x:c r="I69" s="53" t="n">
        <x:v>0.25</x:v>
      </x:c>
      <x:c r="J69" s="52" t="str">
        <x:v>auto/completion</x:v>
      </x:c>
      <x:c r="K69" s="52" t="str">
        <x:v>usefulness_rating</x:v>
      </x:c>
      <x:c r="L69" s="52" t="str">
        <x:v>1 not useful to 5 very useful</x:v>
      </x:c>
    </x:row>
    <x:row r="70" ht="58" customHeight="1">
      <x:c r="A70" s="52" t="n">
        <x:v>3</x:v>
      </x:c>
      <x:c r="B70" s="52" t="n">
        <x:v>3</x:v>
      </x:c>
      <x:c r="C70" s="52" t="str">
        <x:v>How do cells organize molecules into functional systems?</x:v>
      </x:c>
      <x:c r="D70" s="52" t="str">
        <x:v>Chapters 7-8, 13: carbohydrates, membranes, transport, signaling, metabolism overview</x:v>
      </x:c>
      <x:c r="E70" s="52" t="str">
        <x:v>CHEM214 MEN 03 - Molecules in Systems</x:v>
      </x:c>
      <x:c r="F70" s="52" t="str">
        <x:v>CHEM214_MEN_03_molecules_in_systems</x:v>
      </x:c>
      <x:c r="G70" s="52" t="str">
        <x:v>About how long did this entry take?</x:v>
      </x:c>
      <x:c r="H70" s="52" t="str">
        <x:v>Multiple choice</x:v>
      </x:c>
      <x:c r="I70" s="53" t="n">
        <x:v>0.25</x:v>
      </x:c>
      <x:c r="J70" s="52" t="str">
        <x:v>auto/completion</x:v>
      </x:c>
      <x:c r="K70" s="52" t="str">
        <x:v>time_on_task</x:v>
      </x:c>
      <x:c r="L70" s="52" t="str">
        <x:v>under 10; 10-15; 15-25; 25-35; over 35 minutes</x:v>
      </x:c>
    </x:row>
    <x:row r="71" ht="58" customHeight="1">
      <x:c r="A71" s="52" t="n">
        <x:v>3</x:v>
      </x:c>
      <x:c r="B71" s="52" t="n">
        <x:v>3</x:v>
      </x:c>
      <x:c r="C71" s="52" t="str">
        <x:v>How do cells organize molecules into functional systems?</x:v>
      </x:c>
      <x:c r="D71" s="52" t="str">
        <x:v>Chapters 7-8, 13: carbohydrates, membranes, transport, signaling, metabolism overview</x:v>
      </x:c>
      <x:c r="E71" s="52" t="str">
        <x:v>CHEM214 MEN 03 - Molecules in Systems</x:v>
      </x:c>
      <x:c r="F71" s="52" t="str">
        <x:v>CHEM214_MEN_03_molecules_in_systems</x:v>
      </x:c>
      <x:c r="G71" s="52" t="str">
        <x:v>What is one thing that still feels unclear?</x:v>
      </x:c>
      <x:c r="H71" s="52" t="str">
        <x:v>Short answer</x:v>
      </x:c>
      <x:c r="I71" s="53" t="n">
        <x:v>0.5</x:v>
      </x:c>
      <x:c r="J71" s="52" t="str">
        <x:v>completion</x:v>
      </x:c>
      <x:c r="K71" s="52" t="str">
        <x:v>muddiest_point</x:v>
      </x:c>
      <x:c r="L71" s="52" t="str">
        <x:v>Suggested 1 sentence</x:v>
      </x:c>
    </x:row>
    <x:row r="72" ht="58" customHeight="1">
      <x:c r="A72" s="52" t="n">
        <x:v>3</x:v>
      </x:c>
      <x:c r="B72" s="52" t="n">
        <x:v>3</x:v>
      </x:c>
      <x:c r="C72" s="52" t="str">
        <x:v>How do cells organize molecules into functional systems?</x:v>
      </x:c>
      <x:c r="D72" s="52" t="str">
        <x:v>Chapters 7-8, 13: carbohydrates, membranes, transport, signaling, metabolism overview</x:v>
      </x:c>
      <x:c r="E72" s="52" t="str">
        <x:v>CHEM214 MEN 03 - Molecules in Systems</x:v>
      </x:c>
      <x:c r="F72" s="52" t="str">
        <x:v>CHEM214_MEN_03_molecules_in_systems</x:v>
      </x:c>
      <x:c r="G72" s="52" t="str">
        <x:v>Which system context best fits your example?</x:v>
      </x:c>
      <x:c r="H72" s="52" t="str">
        <x:v>Dropdown</x:v>
      </x:c>
      <x:c r="I72" s="53" t="n">
        <x:v>0.25</x:v>
      </x:c>
      <x:c r="J72" s="52" t="str">
        <x:v>auto/completion</x:v>
      </x:c>
      <x:c r="K72" s="52" t="str">
        <x:v>system_context</x:v>
      </x:c>
      <x:c r="L72" s="52" t="str">
        <x:v>Entry 3 only</x:v>
      </x:c>
    </x:row>
    <x:row r="73" ht="58" customHeight="1">
      <x:c r="A73" s="52" t="n">
        <x:v>3</x:v>
      </x:c>
      <x:c r="B73" s="52" t="n">
        <x:v>3</x:v>
      </x:c>
      <x:c r="C73" s="52" t="str">
        <x:v>How do cells organize molecules into functional systems?</x:v>
      </x:c>
      <x:c r="D73" s="52" t="str">
        <x:v>Chapters 7-8, 13: carbohydrates, membranes, transport, signaling, metabolism overview</x:v>
      </x:c>
      <x:c r="E73" s="52" t="str">
        <x:v>CHEM214 MEN 03 - Molecules in Systems</x:v>
      </x:c>
      <x:c r="F73" s="52" t="str">
        <x:v>CHEM214_MEN_03_molecules_in_systems</x:v>
      </x:c>
      <x:c r="G73" s="52" t="str">
        <x:v>Which system-level features did you observe?</x:v>
      </x:c>
      <x:c r="H73" s="52" t="str">
        <x:v>Checkbox</x:v>
      </x:c>
      <x:c r="I73" s="53" t="n">
        <x:v>0.25</x:v>
      </x:c>
      <x:c r="J73" s="52" t="str">
        <x:v>completion</x:v>
      </x:c>
      <x:c r="K73" s="52" t="str">
        <x:v>system_features_observed</x:v>
      </x:c>
      <x:c r="L73" s="52" t="str">
        <x:v>Entry 3 only; select all that apply</x:v>
      </x:c>
    </x:row>
    <x:row r="74" ht="58" customHeight="1">
      <x:c r="A74" s="52" t="n">
        <x:v>3</x:v>
      </x:c>
      <x:c r="B74" s="52" t="n">
        <x:v>3</x:v>
      </x:c>
      <x:c r="C74" s="52" t="str">
        <x:v>How do cells organize molecules into functional systems?</x:v>
      </x:c>
      <x:c r="D74" s="52" t="str">
        <x:v>Chapters 7-8, 13: carbohydrates, membranes, transport, signaling, metabolism overview</x:v>
      </x:c>
      <x:c r="E74" s="52" t="str">
        <x:v>CHEM214 MEN 03 - Molecules in Systems</x:v>
      </x:c>
      <x:c r="F74" s="52" t="str">
        <x:v>CHEM214_MEN_03_molecules_in_systems</x:v>
      </x:c>
      <x:c r="G74" s="52" t="str">
        <x:v>What cellular system or process does this molecule support?</x:v>
      </x:c>
      <x:c r="H74" s="52" t="str">
        <x:v>Short answer</x:v>
      </x:c>
      <x:c r="I74" s="53" t="n">
        <x:v>0.25</x:v>
      </x:c>
      <x:c r="J74" s="52" t="str">
        <x:v>completion</x:v>
      </x:c>
      <x:c r="K74" s="52" t="str">
        <x:v>cellular_process</x:v>
      </x:c>
      <x:c r="L74" s="52" t="str">
        <x:v>Entry 3 only</x:v>
      </x:c>
    </x:row>
    <x:row r="75" ht="58" customHeight="1">
      <x:c r="A75" s="52" t="n">
        <x:v>3</x:v>
      </x:c>
      <x:c r="B75" s="52" t="n">
        <x:v>3</x:v>
      </x:c>
      <x:c r="C75" s="52" t="str">
        <x:v>How do cells organize molecules into functional systems?</x:v>
      </x:c>
      <x:c r="D75" s="52" t="str">
        <x:v>Chapters 7-8, 13: carbohydrates, membranes, transport, signaling, metabolism overview</x:v>
      </x:c>
      <x:c r="E75" s="52" t="str">
        <x:v>CHEM214 MEN 03 - Molecules in Systems</x:v>
      </x:c>
      <x:c r="F75" s="52" t="str">
        <x:v>CHEM214_MEN_03_molecules_in_systems</x:v>
      </x:c>
      <x:c r="G75" s="52" t="str">
        <x:v>What structural feature helps it participate in that system?</x:v>
      </x:c>
      <x:c r="H75" s="52" t="str">
        <x:v>Short answer</x:v>
      </x:c>
      <x:c r="I75" s="53" t="n">
        <x:v>0.75</x:v>
      </x:c>
      <x:c r="J75" s="52" t="str">
        <x:v>manual</x:v>
      </x:c>
      <x:c r="K75" s="52" t="str">
        <x:v>system_structure_detail</x:v>
      </x:c>
      <x:c r="L75" s="52" t="str">
        <x:v>Entry 3 only; suggested 1-2 sentences</x:v>
      </x:c>
    </x:row>
    <x:row r="76" ht="58" customHeight="1">
      <x:c r="A76" s="52" t="n">
        <x:v>3</x:v>
      </x:c>
      <x:c r="B76" s="52" t="n">
        <x:v>3</x:v>
      </x:c>
      <x:c r="C76" s="52" t="str">
        <x:v>How do cells organize molecules into functional systems?</x:v>
      </x:c>
      <x:c r="D76" s="52" t="str">
        <x:v>Chapters 7-8, 13: carbohydrates, membranes, transport, signaling, metabolism overview</x:v>
      </x:c>
      <x:c r="E76" s="52" t="str">
        <x:v>CHEM214 MEN 03 - Molecules in Systems</x:v>
      </x:c>
      <x:c r="F76" s="52" t="str">
        <x:v>CHEM214_MEN_03_molecules_in_systems</x:v>
      </x:c>
      <x:c r="G76" s="52" t="str">
        <x:v>How does molecular organization support biological function?</x:v>
      </x:c>
      <x:c r="H76" s="52" t="str">
        <x:v>Short answer</x:v>
      </x:c>
      <x:c r="I76" s="53" t="n">
        <x:v>1</x:v>
      </x:c>
      <x:c r="J76" s="52" t="str">
        <x:v>manual</x:v>
      </x:c>
      <x:c r="K76" s="52" t="str">
        <x:v>system_function_connection</x:v>
      </x:c>
      <x:c r="L76" s="52" t="str">
        <x:v>Entry 3 only; suggested 1-2 sentences</x:v>
      </x:c>
    </x:row>
    <x:row r="77" ht="58" customHeight="1">
      <x:c r="A77" s="52" t="n">
        <x:v>4</x:v>
      </x:c>
      <x:c r="B77" s="52" t="n">
        <x:v>4</x:v>
      </x:c>
      <x:c r="C77" s="52" t="str">
        <x:v>How does molecular structure explain energy metabolism?</x:v>
      </x:c>
      <x:c r="D77" s="52" t="str">
        <x:v>Chapters 14, 16, 19: glycolysis, citric acid cycle, oxidative phosphorylation</x:v>
      </x:c>
      <x:c r="E77" s="52" t="str">
        <x:v>CHEM214 MEN 04 - Structure Explains Metabolism</x:v>
      </x:c>
      <x:c r="F77" s="52" t="str">
        <x:v>CHEM214_MEN_04_structure_explains_metabolism</x:v>
      </x:c>
      <x:c r="G77" s="52" t="str">
        <x:v>Which Molecular Exploration Notebook entry are you completing?</x:v>
      </x:c>
      <x:c r="H77" s="52" t="str">
        <x:v>Multiple choice</x:v>
      </x:c>
      <x:c r="I77" s="53" t="n">
        <x:v>0</x:v>
      </x:c>
      <x:c r="J77" s="52" t="str">
        <x:v>auto/completion</x:v>
      </x:c>
      <x:c r="K77" s="52" t="str">
        <x:v>entry_id</x:v>
      </x:c>
      <x:c r="L77" s="52" t="str">
        <x:v>Identifier only; use in Canvas and Qualtrics exports</x:v>
      </x:c>
    </x:row>
    <x:row r="78" ht="58" customHeight="1">
      <x:c r="A78" s="52" t="n">
        <x:v>4</x:v>
      </x:c>
      <x:c r="B78" s="52" t="n">
        <x:v>4</x:v>
      </x:c>
      <x:c r="C78" s="52" t="str">
        <x:v>How does molecular structure explain energy metabolism?</x:v>
      </x:c>
      <x:c r="D78" s="52" t="str">
        <x:v>Chapters 14, 16, 19: glycolysis, citric acid cycle, oxidative phosphorylation</x:v>
      </x:c>
      <x:c r="E78" s="52" t="str">
        <x:v>CHEM214 MEN 04 - Structure Explains Metabolism</x:v>
      </x:c>
      <x:c r="F78" s="52" t="str">
        <x:v>CHEM214_MEN_04_structure_explains_metabolism</x:v>
      </x:c>
      <x:c r="G78" s="52" t="str">
        <x:v>Enter the protein, molecule, or structure name you explored.</x:v>
      </x:c>
      <x:c r="H78" s="52" t="str">
        <x:v>Short answer</x:v>
      </x:c>
      <x:c r="I78" s="53" t="n">
        <x:v>0.25</x:v>
      </x:c>
      <x:c r="J78" s="52" t="str">
        <x:v>completion</x:v>
      </x:c>
      <x:c r="K78" s="52" t="str">
        <x:v>protein_name</x:v>
      </x:c>
      <x:c r="L78" s="52" t="str">
        <x:v>Required short text</x:v>
      </x:c>
    </x:row>
    <x:row r="79" ht="58" customHeight="1">
      <x:c r="A79" s="52" t="n">
        <x:v>4</x:v>
      </x:c>
      <x:c r="B79" s="52" t="n">
        <x:v>4</x:v>
      </x:c>
      <x:c r="C79" s="52" t="str">
        <x:v>How does molecular structure explain energy metabolism?</x:v>
      </x:c>
      <x:c r="D79" s="52" t="str">
        <x:v>Chapters 14, 16, 19: glycolysis, citric acid cycle, oxidative phosphorylation</x:v>
      </x:c>
      <x:c r="E79" s="52" t="str">
        <x:v>CHEM214 MEN 04 - Structure Explains Metabolism</x:v>
      </x:c>
      <x:c r="F79" s="52" t="str">
        <x:v>CHEM214_MEN_04_structure_explains_metabolism</x:v>
      </x:c>
      <x:c r="G79" s="52" t="str">
        <x:v>Enter the 4-character PDB ID used in the Atlas, if available.</x:v>
      </x:c>
      <x:c r="H79" s="52" t="str">
        <x:v>Short answer</x:v>
      </x:c>
      <x:c r="I79" s="53" t="n">
        <x:v>0.25</x:v>
      </x:c>
      <x:c r="J79" s="52" t="str">
        <x:v>completion</x:v>
      </x:c>
      <x:c r="K79" s="52" t="str">
        <x:v>pdb_id</x:v>
      </x:c>
      <x:c r="L79" s="52" t="str">
        <x:v>Validate as 4 alphanumeric characters when possible</x:v>
      </x:c>
    </x:row>
    <x:row r="80" ht="58" customHeight="1">
      <x:c r="A80" s="52" t="n">
        <x:v>4</x:v>
      </x:c>
      <x:c r="B80" s="52" t="n">
        <x:v>4</x:v>
      </x:c>
      <x:c r="C80" s="52" t="str">
        <x:v>How does molecular structure explain energy metabolism?</x:v>
      </x:c>
      <x:c r="D80" s="52" t="str">
        <x:v>Chapters 14, 16, 19: glycolysis, citric acid cycle, oxidative phosphorylation</x:v>
      </x:c>
      <x:c r="E80" s="52" t="str">
        <x:v>CHEM214 MEN 04 - Structure Explains Metabolism</x:v>
      </x:c>
      <x:c r="F80" s="52" t="str">
        <x:v>CHEM214_MEN_04_structure_explains_metabolism</x:v>
      </x:c>
      <x:c r="G80" s="52" t="str">
        <x:v>Which category best describes your selected structure?</x:v>
      </x:c>
      <x:c r="H80" s="52" t="str">
        <x:v>Dropdown</x:v>
      </x:c>
      <x:c r="I80" s="53" t="n">
        <x:v>0.25</x:v>
      </x:c>
      <x:c r="J80" s="52" t="str">
        <x:v>auto/completion</x:v>
      </x:c>
      <x:c r="K80" s="52" t="str">
        <x:v>molecular_class</x:v>
      </x:c>
      <x:c r="L80" s="52" t="str">
        <x:v>Use controlled categories for analytics</x:v>
      </x:c>
    </x:row>
    <x:row r="81" ht="58" customHeight="1">
      <x:c r="A81" s="52" t="n">
        <x:v>4</x:v>
      </x:c>
      <x:c r="B81" s="52" t="n">
        <x:v>4</x:v>
      </x:c>
      <x:c r="C81" s="52" t="str">
        <x:v>How does molecular structure explain energy metabolism?</x:v>
      </x:c>
      <x:c r="D81" s="52" t="str">
        <x:v>Chapters 14, 16, 19: glycolysis, citric acid cycle, oxidative phosphorylation</x:v>
      </x:c>
      <x:c r="E81" s="52" t="str">
        <x:v>CHEM214 MEN 04 - Structure Explains Metabolism</x:v>
      </x:c>
      <x:c r="F81" s="52" t="str">
        <x:v>CHEM214_MEN_04_structure_explains_metabolism</x:v>
      </x:c>
      <x:c r="G81" s="52" t="str">
        <x:v>Which Atlas tools did you use? Select all that apply.</x:v>
      </x:c>
      <x:c r="H81" s="52" t="str">
        <x:v>Checkbox</x:v>
      </x:c>
      <x:c r="I81" s="53" t="n">
        <x:v>0.25</x:v>
      </x:c>
      <x:c r="J81" s="52" t="str">
        <x:v>completion</x:v>
      </x:c>
      <x:c r="K81" s="52" t="str">
        <x:v>atlas_features_used</x:v>
      </x:c>
      <x:c r="L81" s="52" t="str">
        <x:v>Useful for feature-use analytics</x:v>
      </x:c>
    </x:row>
    <x:row r="82" ht="58" customHeight="1">
      <x:c r="A82" s="52" t="n">
        <x:v>4</x:v>
      </x:c>
      <x:c r="B82" s="52" t="n">
        <x:v>4</x:v>
      </x:c>
      <x:c r="C82" s="52" t="str">
        <x:v>How does molecular structure explain energy metabolism?</x:v>
      </x:c>
      <x:c r="D82" s="52" t="str">
        <x:v>Chapters 14, 16, 19: glycolysis, citric acid cycle, oxidative phosphorylation</x:v>
      </x:c>
      <x:c r="E82" s="52" t="str">
        <x:v>CHEM214 MEN 04 - Structure Explains Metabolism</x:v>
      </x:c>
      <x:c r="F82" s="52" t="str">
        <x:v>CHEM214_MEN_04_structure_explains_metabolism</x:v>
      </x:c>
      <x:c r="G82" s="52" t="str">
        <x:v>Upload one screenshot from the Biochemistry Visual Atlas that supports your observations.</x:v>
      </x:c>
      <x:c r="H82" s="52" t="str">
        <x:v>File upload</x:v>
      </x:c>
      <x:c r="I82" s="53" t="n">
        <x:v>1.5</x:v>
      </x:c>
      <x:c r="J82" s="52" t="str">
        <x:v>manual/completion</x:v>
      </x:c>
      <x:c r="K82" s="52" t="str">
        <x:v>screenshot_upload</x:v>
      </x:c>
      <x:c r="L82" s="52" t="str">
        <x:v>One screenshot per notebook entry</x:v>
      </x:c>
    </x:row>
    <x:row r="83" ht="58" customHeight="1">
      <x:c r="A83" s="52" t="n">
        <x:v>4</x:v>
      </x:c>
      <x:c r="B83" s="52" t="n">
        <x:v>4</x:v>
      </x:c>
      <x:c r="C83" s="52" t="str">
        <x:v>How does molecular structure explain energy metabolism?</x:v>
      </x:c>
      <x:c r="D83" s="52" t="str">
        <x:v>Chapters 14, 16, 19: glycolysis, citric acid cycle, oxidative phosphorylation</x:v>
      </x:c>
      <x:c r="E83" s="52" t="str">
        <x:v>CHEM214 MEN 04 - Structure Explains Metabolism</x:v>
      </x:c>
      <x:c r="F83" s="52" t="str">
        <x:v>CHEM214_MEN_04_structure_explains_metabolism</x:v>
      </x:c>
      <x:c r="G83" s="52" t="str">
        <x:v>Write a one-sentence caption explaining what your screenshot shows.</x:v>
      </x:c>
      <x:c r="H83" s="52" t="str">
        <x:v>Short answer</x:v>
      </x:c>
      <x:c r="I83" s="53" t="n">
        <x:v>0.5</x:v>
      </x:c>
      <x:c r="J83" s="52" t="str">
        <x:v>manual/completion</x:v>
      </x:c>
      <x:c r="K83" s="52" t="str">
        <x:v>screenshot_caption</x:v>
      </x:c>
      <x:c r="L83" s="52" t="str">
        <x:v>Suggested 15-35 words</x:v>
      </x:c>
    </x:row>
    <x:row r="84" ht="58" customHeight="1">
      <x:c r="A84" s="52" t="n">
        <x:v>4</x:v>
      </x:c>
      <x:c r="B84" s="52" t="n">
        <x:v>4</x:v>
      </x:c>
      <x:c r="C84" s="52" t="str">
        <x:v>How does molecular structure explain energy metabolism?</x:v>
      </x:c>
      <x:c r="D84" s="52" t="str">
        <x:v>Chapters 14, 16, 19: glycolysis, citric acid cycle, oxidative phosphorylation</x:v>
      </x:c>
      <x:c r="E84" s="52" t="str">
        <x:v>CHEM214 MEN 04 - Structure Explains Metabolism</x:v>
      </x:c>
      <x:c r="F84" s="52" t="str">
        <x:v>CHEM214_MEN_04_structure_explains_metabolism</x:v>
      </x:c>
      <x:c r="G84" s="52" t="str">
        <x:v>Which structural feature is most important in your screenshot?</x:v>
      </x:c>
      <x:c r="H84" s="52" t="str">
        <x:v>Dropdown</x:v>
      </x:c>
      <x:c r="I84" s="53" t="n">
        <x:v>0.25</x:v>
      </x:c>
      <x:c r="J84" s="52" t="str">
        <x:v>auto/completion</x:v>
      </x:c>
      <x:c r="K84" s="52" t="str">
        <x:v>key_structural_feature</x:v>
      </x:c>
      <x:c r="L84" s="52" t="str">
        <x:v>Use controlled categories for analytics</x:v>
      </x:c>
    </x:row>
    <x:row r="85" ht="58" customHeight="1">
      <x:c r="A85" s="52" t="n">
        <x:v>4</x:v>
      </x:c>
      <x:c r="B85" s="52" t="n">
        <x:v>4</x:v>
      </x:c>
      <x:c r="C85" s="52" t="str">
        <x:v>How does molecular structure explain energy metabolism?</x:v>
      </x:c>
      <x:c r="D85" s="52" t="str">
        <x:v>Chapters 14, 16, 19: glycolysis, citric acid cycle, oxidative phosphorylation</x:v>
      </x:c>
      <x:c r="E85" s="52" t="str">
        <x:v>CHEM214 MEN 04 - Structure Explains Metabolism</x:v>
      </x:c>
      <x:c r="F85" s="52" t="str">
        <x:v>CHEM214_MEN_04_structure_explains_metabolism</x:v>
      </x:c>
      <x:c r="G85" s="52" t="str">
        <x:v>Which molecular interactions or chemical features did you observe? Select all that apply.</x:v>
      </x:c>
      <x:c r="H85" s="52" t="str">
        <x:v>Checkbox</x:v>
      </x:c>
      <x:c r="I85" s="53" t="n">
        <x:v>0.25</x:v>
      </x:c>
      <x:c r="J85" s="52" t="str">
        <x:v>completion</x:v>
      </x:c>
      <x:c r="K85" s="52" t="str">
        <x:v>interaction_features</x:v>
      </x:c>
      <x:c r="L85" s="52" t="str">
        <x:v>Use controlled categories for analytics</x:v>
      </x:c>
    </x:row>
    <x:row r="86" ht="58" customHeight="1">
      <x:c r="A86" s="52" t="n">
        <x:v>4</x:v>
      </x:c>
      <x:c r="B86" s="52" t="n">
        <x:v>4</x:v>
      </x:c>
      <x:c r="C86" s="52" t="str">
        <x:v>How does molecular structure explain energy metabolism?</x:v>
      </x:c>
      <x:c r="D86" s="52" t="str">
        <x:v>Chapters 14, 16, 19: glycolysis, citric acid cycle, oxidative phosphorylation</x:v>
      </x:c>
      <x:c r="E86" s="52" t="str">
        <x:v>CHEM214 MEN 04 - Structure Explains Metabolism</x:v>
      </x:c>
      <x:c r="F86" s="52" t="str">
        <x:v>CHEM214_MEN_04_structure_explains_metabolism</x:v>
      </x:c>
      <x:c r="G86" s="52" t="str">
        <x:v>What is one specific molecular detail you noticed?</x:v>
      </x:c>
      <x:c r="H86" s="52" t="str">
        <x:v>Short answer</x:v>
      </x:c>
      <x:c r="I86" s="53" t="n">
        <x:v>0.5</x:v>
      </x:c>
      <x:c r="J86" s="52" t="str">
        <x:v>completion/manual spot check</x:v>
      </x:c>
      <x:c r="K86" s="52" t="str">
        <x:v>observation_specific_detail</x:v>
      </x:c>
      <x:c r="L86" s="52" t="str">
        <x:v>Suggested 1-2 sentences</x:v>
      </x:c>
    </x:row>
    <x:row r="87" ht="58" customHeight="1">
      <x:c r="A87" s="52" t="n">
        <x:v>4</x:v>
      </x:c>
      <x:c r="B87" s="52" t="n">
        <x:v>4</x:v>
      </x:c>
      <x:c r="C87" s="52" t="str">
        <x:v>How does molecular structure explain energy metabolism?</x:v>
      </x:c>
      <x:c r="D87" s="52" t="str">
        <x:v>Chapters 14, 16, 19: glycolysis, citric acid cycle, oxidative phosphorylation</x:v>
      </x:c>
      <x:c r="E87" s="52" t="str">
        <x:v>CHEM214 MEN 04 - Structure Explains Metabolism</x:v>
      </x:c>
      <x:c r="F87" s="52" t="str">
        <x:v>CHEM214_MEN_04_structure_explains_metabolism</x:v>
      </x:c>
      <x:c r="G87" s="52" t="str">
        <x:v>How does this detail relate to the weekly scientific question?</x:v>
      </x:c>
      <x:c r="H87" s="52" t="str">
        <x:v>Short answer</x:v>
      </x:c>
      <x:c r="I87" s="53" t="n">
        <x:v>0.5</x:v>
      </x:c>
      <x:c r="J87" s="52" t="str">
        <x:v>manual</x:v>
      </x:c>
      <x:c r="K87" s="52" t="str">
        <x:v>observation_scientific_question</x:v>
      </x:c>
      <x:c r="L87" s="52" t="str">
        <x:v>Suggested 1-2 sentences</x:v>
      </x:c>
    </x:row>
    <x:row r="88" ht="58" customHeight="1">
      <x:c r="A88" s="52" t="n">
        <x:v>4</x:v>
      </x:c>
      <x:c r="B88" s="52" t="n">
        <x:v>4</x:v>
      </x:c>
      <x:c r="C88" s="52" t="str">
        <x:v>How does molecular structure explain energy metabolism?</x:v>
      </x:c>
      <x:c r="D88" s="52" t="str">
        <x:v>Chapters 14, 16, 19: glycolysis, citric acid cycle, oxidative phosphorylation</x:v>
      </x:c>
      <x:c r="E88" s="52" t="str">
        <x:v>CHEM214 MEN 04 - Structure Explains Metabolism</x:v>
      </x:c>
      <x:c r="F88" s="52" t="str">
        <x:v>CHEM214_MEN_04_structure_explains_metabolism</x:v>
      </x:c>
      <x:c r="G88" s="52" t="str">
        <x:v>Make one concise claim connecting structure to function.</x:v>
      </x:c>
      <x:c r="H88" s="52" t="str">
        <x:v>Short answer</x:v>
      </x:c>
      <x:c r="I88" s="53" t="n">
        <x:v>0.5</x:v>
      </x:c>
      <x:c r="J88" s="52" t="str">
        <x:v>manual</x:v>
      </x:c>
      <x:c r="K88" s="52" t="str">
        <x:v>structure_function_claim</x:v>
      </x:c>
      <x:c r="L88" s="52" t="str">
        <x:v>Suggested 1 sentence</x:v>
      </x:c>
    </x:row>
    <x:row r="89" ht="58" customHeight="1">
      <x:c r="A89" s="52" t="n">
        <x:v>4</x:v>
      </x:c>
      <x:c r="B89" s="52" t="n">
        <x:v>4</x:v>
      </x:c>
      <x:c r="C89" s="52" t="str">
        <x:v>How does molecular structure explain energy metabolism?</x:v>
      </x:c>
      <x:c r="D89" s="52" t="str">
        <x:v>Chapters 14, 16, 19: glycolysis, citric acid cycle, oxidative phosphorylation</x:v>
      </x:c>
      <x:c r="E89" s="52" t="str">
        <x:v>CHEM214 MEN 04 - Structure Explains Metabolism</x:v>
      </x:c>
      <x:c r="F89" s="52" t="str">
        <x:v>CHEM214_MEN_04_structure_explains_metabolism</x:v>
      </x:c>
      <x:c r="G89" s="52" t="str">
        <x:v>What kind of evidence most directly supports your claim?</x:v>
      </x:c>
      <x:c r="H89" s="52" t="str">
        <x:v>Dropdown</x:v>
      </x:c>
      <x:c r="I89" s="53" t="n">
        <x:v>0.25</x:v>
      </x:c>
      <x:c r="J89" s="52" t="str">
        <x:v>auto/completion</x:v>
      </x:c>
      <x:c r="K89" s="52" t="str">
        <x:v>evidence_type</x:v>
      </x:c>
      <x:c r="L89" s="52" t="str">
        <x:v>Use controlled categories for analytics</x:v>
      </x:c>
    </x:row>
    <x:row r="90" ht="58" customHeight="1">
      <x:c r="A90" s="52" t="n">
        <x:v>4</x:v>
      </x:c>
      <x:c r="B90" s="52" t="n">
        <x:v>4</x:v>
      </x:c>
      <x:c r="C90" s="52" t="str">
        <x:v>How does molecular structure explain energy metabolism?</x:v>
      </x:c>
      <x:c r="D90" s="52" t="str">
        <x:v>Chapters 14, 16, 19: glycolysis, citric acid cycle, oxidative phosphorylation</x:v>
      </x:c>
      <x:c r="E90" s="52" t="str">
        <x:v>CHEM214 MEN 04 - Structure Explains Metabolism</x:v>
      </x:c>
      <x:c r="F90" s="52" t="str">
        <x:v>CHEM214_MEN_04_structure_explains_metabolism</x:v>
      </x:c>
      <x:c r="G90" s="52" t="str">
        <x:v>State the evidence from your screenshot or Atlas exploration.</x:v>
      </x:c>
      <x:c r="H90" s="52" t="str">
        <x:v>Short answer</x:v>
      </x:c>
      <x:c r="I90" s="53" t="n">
        <x:v>0.5</x:v>
      </x:c>
      <x:c r="J90" s="52" t="str">
        <x:v>manual</x:v>
      </x:c>
      <x:c r="K90" s="52" t="str">
        <x:v>evidence_statement</x:v>
      </x:c>
      <x:c r="L90" s="52" t="str">
        <x:v>Suggested 1-2 sentences</x:v>
      </x:c>
    </x:row>
    <x:row r="91" ht="58" customHeight="1">
      <x:c r="A91" s="52" t="n">
        <x:v>4</x:v>
      </x:c>
      <x:c r="B91" s="52" t="n">
        <x:v>4</x:v>
      </x:c>
      <x:c r="C91" s="52" t="str">
        <x:v>How does molecular structure explain energy metabolism?</x:v>
      </x:c>
      <x:c r="D91" s="52" t="str">
        <x:v>Chapters 14, 16, 19: glycolysis, citric acid cycle, oxidative phosphorylation</x:v>
      </x:c>
      <x:c r="E91" s="52" t="str">
        <x:v>CHEM214 MEN 04 - Structure Explains Metabolism</x:v>
      </x:c>
      <x:c r="F91" s="52" t="str">
        <x:v>CHEM214_MEN_04_structure_explains_metabolism</x:v>
      </x:c>
      <x:c r="G91" s="52" t="str">
        <x:v>What is one limitation or uncertainty in your interpretation?</x:v>
      </x:c>
      <x:c r="H91" s="52" t="str">
        <x:v>Short answer</x:v>
      </x:c>
      <x:c r="I91" s="53" t="n">
        <x:v>0.25</x:v>
      </x:c>
      <x:c r="J91" s="52" t="str">
        <x:v>completion/manual</x:v>
      </x:c>
      <x:c r="K91" s="52" t="str">
        <x:v>limitation_uncertainty</x:v>
      </x:c>
      <x:c r="L91" s="52" t="str">
        <x:v>Suggested 1 sentence</x:v>
      </x:c>
    </x:row>
    <x:row r="92" ht="58" customHeight="1">
      <x:c r="A92" s="52" t="n">
        <x:v>4</x:v>
      </x:c>
      <x:c r="B92" s="52" t="n">
        <x:v>4</x:v>
      </x:c>
      <x:c r="C92" s="52" t="str">
        <x:v>How does molecular structure explain energy metabolism?</x:v>
      </x:c>
      <x:c r="D92" s="52" t="str">
        <x:v>Chapters 14, 16, 19: glycolysis, citric acid cycle, oxidative phosphorylation</x:v>
      </x:c>
      <x:c r="E92" s="52" t="str">
        <x:v>CHEM214 MEN 04 - Structure Explains Metabolism</x:v>
      </x:c>
      <x:c r="F92" s="52" t="str">
        <x:v>CHEM214_MEN_04_structure_explains_metabolism</x:v>
      </x:c>
      <x:c r="G92" s="52" t="str">
        <x:v>How confident are you in your interpretation?</x:v>
      </x:c>
      <x:c r="H92" s="52" t="str">
        <x:v>Likert</x:v>
      </x:c>
      <x:c r="I92" s="53" t="n">
        <x:v>0.25</x:v>
      </x:c>
      <x:c r="J92" s="52" t="str">
        <x:v>auto/completion</x:v>
      </x:c>
      <x:c r="K92" s="52" t="str">
        <x:v>confidence_rating</x:v>
      </x:c>
      <x:c r="L92" s="52" t="str">
        <x:v>1 not confident to 5 very confident</x:v>
      </x:c>
    </x:row>
    <x:row r="93" ht="58" customHeight="1">
      <x:c r="A93" s="52" t="n">
        <x:v>4</x:v>
      </x:c>
      <x:c r="B93" s="52" t="n">
        <x:v>4</x:v>
      </x:c>
      <x:c r="C93" s="52" t="str">
        <x:v>How does molecular structure explain energy metabolism?</x:v>
      </x:c>
      <x:c r="D93" s="52" t="str">
        <x:v>Chapters 14, 16, 19: glycolysis, citric acid cycle, oxidative phosphorylation</x:v>
      </x:c>
      <x:c r="E93" s="52" t="str">
        <x:v>CHEM214 MEN 04 - Structure Explains Metabolism</x:v>
      </x:c>
      <x:c r="F93" s="52" t="str">
        <x:v>CHEM214_MEN_04_structure_explains_metabolism</x:v>
      </x:c>
      <x:c r="G93" s="52" t="str">
        <x:v>How difficult was this exploration?</x:v>
      </x:c>
      <x:c r="H93" s="52" t="str">
        <x:v>Likert</x:v>
      </x:c>
      <x:c r="I93" s="53" t="n">
        <x:v>0.25</x:v>
      </x:c>
      <x:c r="J93" s="52" t="str">
        <x:v>auto/completion</x:v>
      </x:c>
      <x:c r="K93" s="52" t="str">
        <x:v>difficulty_rating</x:v>
      </x:c>
      <x:c r="L93" s="52" t="str">
        <x:v>1 very easy to 5 very difficult</x:v>
      </x:c>
    </x:row>
    <x:row r="94" ht="58" customHeight="1">
      <x:c r="A94" s="52" t="n">
        <x:v>4</x:v>
      </x:c>
      <x:c r="B94" s="52" t="n">
        <x:v>4</x:v>
      </x:c>
      <x:c r="C94" s="52" t="str">
        <x:v>How does molecular structure explain energy metabolism?</x:v>
      </x:c>
      <x:c r="D94" s="52" t="str">
        <x:v>Chapters 14, 16, 19: glycolysis, citric acid cycle, oxidative phosphorylation</x:v>
      </x:c>
      <x:c r="E94" s="52" t="str">
        <x:v>CHEM214 MEN 04 - Structure Explains Metabolism</x:v>
      </x:c>
      <x:c r="F94" s="52" t="str">
        <x:v>CHEM214_MEN_04_structure_explains_metabolism</x:v>
      </x:c>
      <x:c r="G94" s="52" t="str">
        <x:v>How useful was the Atlas for understanding this week?</x:v>
      </x:c>
      <x:c r="H94" s="52" t="str">
        <x:v>Likert</x:v>
      </x:c>
      <x:c r="I94" s="53" t="n">
        <x:v>0.25</x:v>
      </x:c>
      <x:c r="J94" s="52" t="str">
        <x:v>auto/completion</x:v>
      </x:c>
      <x:c r="K94" s="52" t="str">
        <x:v>usefulness_rating</x:v>
      </x:c>
      <x:c r="L94" s="52" t="str">
        <x:v>1 not useful to 5 very useful</x:v>
      </x:c>
    </x:row>
    <x:row r="95" ht="58" customHeight="1">
      <x:c r="A95" s="52" t="n">
        <x:v>4</x:v>
      </x:c>
      <x:c r="B95" s="52" t="n">
        <x:v>4</x:v>
      </x:c>
      <x:c r="C95" s="52" t="str">
        <x:v>How does molecular structure explain energy metabolism?</x:v>
      </x:c>
      <x:c r="D95" s="52" t="str">
        <x:v>Chapters 14, 16, 19: glycolysis, citric acid cycle, oxidative phosphorylation</x:v>
      </x:c>
      <x:c r="E95" s="52" t="str">
        <x:v>CHEM214 MEN 04 - Structure Explains Metabolism</x:v>
      </x:c>
      <x:c r="F95" s="52" t="str">
        <x:v>CHEM214_MEN_04_structure_explains_metabolism</x:v>
      </x:c>
      <x:c r="G95" s="52" t="str">
        <x:v>About how long did this entry take?</x:v>
      </x:c>
      <x:c r="H95" s="52" t="str">
        <x:v>Multiple choice</x:v>
      </x:c>
      <x:c r="I95" s="53" t="n">
        <x:v>0.25</x:v>
      </x:c>
      <x:c r="J95" s="52" t="str">
        <x:v>auto/completion</x:v>
      </x:c>
      <x:c r="K95" s="52" t="str">
        <x:v>time_on_task</x:v>
      </x:c>
      <x:c r="L95" s="52" t="str">
        <x:v>under 10; 10-15; 15-25; 25-35; over 35 minutes</x:v>
      </x:c>
    </x:row>
    <x:row r="96" ht="58" customHeight="1">
      <x:c r="A96" s="52" t="n">
        <x:v>4</x:v>
      </x:c>
      <x:c r="B96" s="52" t="n">
        <x:v>4</x:v>
      </x:c>
      <x:c r="C96" s="52" t="str">
        <x:v>How does molecular structure explain energy metabolism?</x:v>
      </x:c>
      <x:c r="D96" s="52" t="str">
        <x:v>Chapters 14, 16, 19: glycolysis, citric acid cycle, oxidative phosphorylation</x:v>
      </x:c>
      <x:c r="E96" s="52" t="str">
        <x:v>CHEM214 MEN 04 - Structure Explains Metabolism</x:v>
      </x:c>
      <x:c r="F96" s="52" t="str">
        <x:v>CHEM214_MEN_04_structure_explains_metabolism</x:v>
      </x:c>
      <x:c r="G96" s="52" t="str">
        <x:v>What is one thing that still feels unclear?</x:v>
      </x:c>
      <x:c r="H96" s="52" t="str">
        <x:v>Short answer</x:v>
      </x:c>
      <x:c r="I96" s="53" t="n">
        <x:v>0.5</x:v>
      </x:c>
      <x:c r="J96" s="52" t="str">
        <x:v>completion</x:v>
      </x:c>
      <x:c r="K96" s="52" t="str">
        <x:v>muddiest_point</x:v>
      </x:c>
      <x:c r="L96" s="52" t="str">
        <x:v>Suggested 1 sentence</x:v>
      </x:c>
    </x:row>
    <x:row r="97" ht="58" customHeight="1">
      <x:c r="A97" s="52" t="n">
        <x:v>4</x:v>
      </x:c>
      <x:c r="B97" s="52" t="n">
        <x:v>4</x:v>
      </x:c>
      <x:c r="C97" s="52" t="str">
        <x:v>How does molecular structure explain energy metabolism?</x:v>
      </x:c>
      <x:c r="D97" s="52" t="str">
        <x:v>Chapters 14, 16, 19: glycolysis, citric acid cycle, oxidative phosphorylation</x:v>
      </x:c>
      <x:c r="E97" s="52" t="str">
        <x:v>CHEM214 MEN 04 - Structure Explains Metabolism</x:v>
      </x:c>
      <x:c r="F97" s="52" t="str">
        <x:v>CHEM214_MEN_04_structure_explains_metabolism</x:v>
      </x:c>
      <x:c r="G97" s="52" t="str">
        <x:v>Which metabolic role best fits this enzyme?</x:v>
      </x:c>
      <x:c r="H97" s="52" t="str">
        <x:v>Dropdown</x:v>
      </x:c>
      <x:c r="I97" s="53" t="n">
        <x:v>0.25</x:v>
      </x:c>
      <x:c r="J97" s="52" t="str">
        <x:v>auto/completion</x:v>
      </x:c>
      <x:c r="K97" s="52" t="str">
        <x:v>metabolic_role</x:v>
      </x:c>
      <x:c r="L97" s="52" t="str">
        <x:v>Entry 4 only</x:v>
      </x:c>
    </x:row>
    <x:row r="98" ht="58" customHeight="1">
      <x:c r="A98" s="52" t="n">
        <x:v>4</x:v>
      </x:c>
      <x:c r="B98" s="52" t="n">
        <x:v>4</x:v>
      </x:c>
      <x:c r="C98" s="52" t="str">
        <x:v>How does molecular structure explain energy metabolism?</x:v>
      </x:c>
      <x:c r="D98" s="52" t="str">
        <x:v>Chapters 14, 16, 19: glycolysis, citric acid cycle, oxidative phosphorylation</x:v>
      </x:c>
      <x:c r="E98" s="52" t="str">
        <x:v>CHEM214 MEN 04 - Structure Explains Metabolism</x:v>
      </x:c>
      <x:c r="F98" s="52" t="str">
        <x:v>CHEM214_MEN_04_structure_explains_metabolism</x:v>
      </x:c>
      <x:c r="G98" s="52" t="str">
        <x:v>Which metabolic enzyme features did you observe?</x:v>
      </x:c>
      <x:c r="H98" s="52" t="str">
        <x:v>Checkbox</x:v>
      </x:c>
      <x:c r="I98" s="53" t="n">
        <x:v>0.25</x:v>
      </x:c>
      <x:c r="J98" s="52" t="str">
        <x:v>completion</x:v>
      </x:c>
      <x:c r="K98" s="52" t="str">
        <x:v>metabolic_features_observed</x:v>
      </x:c>
      <x:c r="L98" s="52" t="str">
        <x:v>Entry 4 only; select all that apply</x:v>
      </x:c>
    </x:row>
    <x:row r="99" ht="58" customHeight="1">
      <x:c r="A99" s="52" t="n">
        <x:v>4</x:v>
      </x:c>
      <x:c r="B99" s="52" t="n">
        <x:v>4</x:v>
      </x:c>
      <x:c r="C99" s="52" t="str">
        <x:v>How does molecular structure explain energy metabolism?</x:v>
      </x:c>
      <x:c r="D99" s="52" t="str">
        <x:v>Chapters 14, 16, 19: glycolysis, citric acid cycle, oxidative phosphorylation</x:v>
      </x:c>
      <x:c r="E99" s="52" t="str">
        <x:v>CHEM214 MEN 04 - Structure Explains Metabolism</x:v>
      </x:c>
      <x:c r="F99" s="52" t="str">
        <x:v>CHEM214_MEN_04_structure_explains_metabolism</x:v>
      </x:c>
      <x:c r="G99" s="52" t="str">
        <x:v>What reaction or pathway is associated with this enzyme?</x:v>
      </x:c>
      <x:c r="H99" s="52" t="str">
        <x:v>Short answer</x:v>
      </x:c>
      <x:c r="I99" s="53" t="n">
        <x:v>0.25</x:v>
      </x:c>
      <x:c r="J99" s="52" t="str">
        <x:v>completion</x:v>
      </x:c>
      <x:c r="K99" s="52" t="str">
        <x:v>metabolic_reaction_pathway</x:v>
      </x:c>
      <x:c r="L99" s="52" t="str">
        <x:v>Entry 4 only</x:v>
      </x:c>
    </x:row>
    <x:row r="100" ht="58" customHeight="1">
      <x:c r="A100" s="52" t="n">
        <x:v>4</x:v>
      </x:c>
      <x:c r="B100" s="52" t="n">
        <x:v>4</x:v>
      </x:c>
      <x:c r="C100" s="52" t="str">
        <x:v>How does molecular structure explain energy metabolism?</x:v>
      </x:c>
      <x:c r="D100" s="52" t="str">
        <x:v>Chapters 14, 16, 19: glycolysis, citric acid cycle, oxidative phosphorylation</x:v>
      </x:c>
      <x:c r="E100" s="52" t="str">
        <x:v>CHEM214 MEN 04 - Structure Explains Metabolism</x:v>
      </x:c>
      <x:c r="F100" s="52" t="str">
        <x:v>CHEM214_MEN_04_structure_explains_metabolism</x:v>
      </x:c>
      <x:c r="G100" s="52" t="str">
        <x:v>Which structural feature supports the enzyme's metabolic function?</x:v>
      </x:c>
      <x:c r="H100" s="52" t="str">
        <x:v>Short answer</x:v>
      </x:c>
      <x:c r="I100" s="53" t="n">
        <x:v>0.75</x:v>
      </x:c>
      <x:c r="J100" s="52" t="str">
        <x:v>manual</x:v>
      </x:c>
      <x:c r="K100" s="52" t="str">
        <x:v>metabolic_structure_detail</x:v>
      </x:c>
      <x:c r="L100" s="52" t="str">
        <x:v>Entry 4 only; suggested 1-2 sentences</x:v>
      </x:c>
    </x:row>
    <x:row r="101" ht="58" customHeight="1">
      <x:c r="A101" s="52" t="n">
        <x:v>4</x:v>
      </x:c>
      <x:c r="B101" s="52" t="n">
        <x:v>4</x:v>
      </x:c>
      <x:c r="C101" s="52" t="str">
        <x:v>How does molecular structure explain energy metabolism?</x:v>
      </x:c>
      <x:c r="D101" s="52" t="str">
        <x:v>Chapters 14, 16, 19: glycolysis, citric acid cycle, oxidative phosphorylation</x:v>
      </x:c>
      <x:c r="E101" s="52" t="str">
        <x:v>CHEM214 MEN 04 - Structure Explains Metabolism</x:v>
      </x:c>
      <x:c r="F101" s="52" t="str">
        <x:v>CHEM214_MEN_04_structure_explains_metabolism</x:v>
      </x:c>
      <x:c r="G101" s="52" t="str">
        <x:v>How does this molecular structure help explain energy flow or pathway function?</x:v>
      </x:c>
      <x:c r="H101" s="52" t="str">
        <x:v>Short answer</x:v>
      </x:c>
      <x:c r="I101" s="53" t="n">
        <x:v>1</x:v>
      </x:c>
      <x:c r="J101" s="52" t="str">
        <x:v>manual</x:v>
      </x:c>
      <x:c r="K101" s="52" t="str">
        <x:v>metabolic_function_connection</x:v>
      </x:c>
      <x:c r="L101" s="52" t="str">
        <x:v>Entry 4 only; suggested 1-2 sentences</x:v>
      </x:c>
    </x:row>
  </x:sheetData>
  <x:mergeCells>
    <x:mergeCell ref="A1:L1"/>
    <x:mergeCell ref="A2:L2"/>
  </x:mergeCells>
  <x:pageMargins left="0.7" right="0.7" top="0.75" bottom="0.75" header="0.3" footer="0.3"/>
  <x:tableParts count="1">
    <x:tablePart xmlns:r="http://schemas.openxmlformats.org/officeDocument/2006/relationships" r:id="R59361ac22c0e4cf1"/>
  </x:tableParts>
</x:worksheet>
</file>